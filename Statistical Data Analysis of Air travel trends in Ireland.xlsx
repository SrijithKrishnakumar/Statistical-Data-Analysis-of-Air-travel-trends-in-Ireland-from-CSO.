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bda424e1c52707d2/"/>
    </mc:Choice>
  </mc:AlternateContent>
  <xr:revisionPtr revIDLastSave="1687" documentId="8_{1E2C7C97-B832-46B1-B7B4-CFCE1C98D858}" xr6:coauthVersionLast="47" xr6:coauthVersionMax="47" xr10:uidLastSave="{78DE4788-7B39-4E65-91A2-FA3431B8EE8E}"/>
  <bookViews>
    <workbookView xWindow="-108" yWindow="-108" windowWidth="23256" windowHeight="13896" firstSheet="8" activeTab="11" xr2:uid="{00000000-000D-0000-FFFF-FFFF00000000}"/>
  </bookViews>
  <sheets>
    <sheet name="About" sheetId="2" r:id="rId1"/>
    <sheet name=" CLEANED_DATA" sheetId="12" r:id="rId2"/>
    <sheet name="MASTER_DATA" sheetId="9" state="hidden" r:id="rId3"/>
    <sheet name="Dublin" sheetId="14" state="hidden" r:id="rId4"/>
    <sheet name="Cork" sheetId="13" state="hidden" r:id="rId5"/>
    <sheet name="Kerry" sheetId="15" state="hidden" r:id="rId6"/>
    <sheet name="Knock" sheetId="16" state="hidden" r:id="rId7"/>
    <sheet name="Shannon" sheetId="17" state="hidden" r:id="rId8"/>
    <sheet name="Chart" sheetId="18" r:id="rId9"/>
    <sheet name="Sheet1" sheetId="19" state="hidden" r:id="rId10"/>
    <sheet name="Descriptive_Stats" sheetId="11" r:id="rId11"/>
    <sheet name="Confidence_Interval" sheetId="20" r:id="rId12"/>
    <sheet name="Hypothesis Testing 1" sheetId="21" r:id="rId13"/>
    <sheet name="Hypothesis Testing 2" sheetId="22" r:id="rId14"/>
    <sheet name="Dublin_Regression&amp;Correlation" sheetId="23" r:id="rId15"/>
  </sheets>
  <definedNames>
    <definedName name="_xlnm._FilterDatabase" localSheetId="1" hidden="1">' CLEANED_DATA'!$M$1:$M$955</definedName>
    <definedName name="_xlnm._FilterDatabase" localSheetId="4" hidden="1">Cork!$A$1:$F$1</definedName>
    <definedName name="_xlnm._FilterDatabase" localSheetId="3" hidden="1">Dublin!$A$1:$F$1</definedName>
    <definedName name="_xlnm._FilterDatabase" localSheetId="5" hidden="1">Kerry!$A$1:$F$1</definedName>
    <definedName name="_xlnm._FilterDatabase" localSheetId="6" hidden="1">Knock!$A$1:$F$1</definedName>
    <definedName name="_xlnm._FilterDatabase" localSheetId="7" hidden="1">Shannon!$A$1:$F$1</definedName>
    <definedName name="_xlnm._FilterDatabase" localSheetId="9" hidden="1">Sheet1!$A$1:$L$325</definedName>
    <definedName name="_xlchart.v1.0" hidden="1">Chart!$B$1</definedName>
    <definedName name="_xlchart.v1.1" hidden="1">Chart!$B$2:$B$55</definedName>
    <definedName name="Slicer_Airports_in_Ireland">#N/A</definedName>
  </definedNames>
  <calcPr calcId="191028"/>
  <pivotCaches>
    <pivotCache cacheId="0" r:id="rId16"/>
  </pivotCaches>
  <extLs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9" i="12" l="1"/>
  <c r="M10" i="12"/>
  <c r="M11" i="12"/>
  <c r="M12" i="12"/>
  <c r="M13" i="12"/>
  <c r="M8" i="12"/>
  <c r="N8" i="12"/>
  <c r="N9" i="12"/>
  <c r="N10" i="12"/>
  <c r="N11" i="12"/>
  <c r="N12" i="12"/>
  <c r="N13" i="12"/>
  <c r="L8" i="12" a="1"/>
  <c r="L8" i="12" s="1"/>
  <c r="B79" i="23"/>
  <c r="AQ28" i="11"/>
  <c r="AR28" i="11"/>
  <c r="AQ29" i="11"/>
  <c r="AR29" i="11"/>
  <c r="AQ30" i="11"/>
  <c r="AR30" i="11"/>
  <c r="AQ31" i="11"/>
  <c r="AR31" i="11"/>
  <c r="B58" i="23"/>
  <c r="B57" i="23"/>
  <c r="F2" i="12"/>
  <c r="L46" i="11"/>
  <c r="L45" i="11"/>
  <c r="L44" i="11"/>
  <c r="L43" i="11"/>
  <c r="AQ54" i="11"/>
  <c r="AR54" i="11" s="1"/>
  <c r="AQ53" i="11"/>
  <c r="AR53" i="11" s="1"/>
  <c r="AQ52" i="11"/>
  <c r="AR52" i="11" s="1"/>
  <c r="AQ51" i="11"/>
  <c r="AR51" i="11" s="1"/>
  <c r="AQ50" i="11"/>
  <c r="AR50" i="11" s="1"/>
  <c r="AQ49" i="11"/>
  <c r="AR49" i="11" s="1"/>
  <c r="AQ48" i="11"/>
  <c r="AR48" i="11" s="1"/>
  <c r="AQ47" i="11"/>
  <c r="AR47" i="11" s="1"/>
  <c r="AQ46" i="11"/>
  <c r="AR46" i="11" s="1"/>
  <c r="AQ45" i="11"/>
  <c r="AR45" i="11" s="1"/>
  <c r="AQ44" i="11"/>
  <c r="AR44" i="11" s="1"/>
  <c r="AQ43" i="11"/>
  <c r="AR43" i="11" s="1"/>
  <c r="AQ42" i="11"/>
  <c r="AR42" i="11" s="1"/>
  <c r="AQ41" i="11"/>
  <c r="AR41" i="11" s="1"/>
  <c r="AQ40" i="11"/>
  <c r="AR40" i="11" s="1"/>
  <c r="AQ39" i="11"/>
  <c r="AR39" i="11" s="1"/>
  <c r="AQ38" i="11"/>
  <c r="AR38" i="11" s="1"/>
  <c r="AQ37" i="11"/>
  <c r="AR37" i="11" s="1"/>
  <c r="AQ36" i="11"/>
  <c r="AR36" i="11" s="1"/>
  <c r="AQ35" i="11"/>
  <c r="AR35" i="11" s="1"/>
  <c r="AQ34" i="11"/>
  <c r="AR34" i="11" s="1"/>
  <c r="AQ33" i="11"/>
  <c r="AR33" i="11" s="1"/>
  <c r="AQ32" i="11"/>
  <c r="AR32" i="11" s="1"/>
  <c r="AQ27" i="11"/>
  <c r="AR27" i="11" s="1"/>
  <c r="AQ26" i="11"/>
  <c r="AR26" i="11" s="1"/>
  <c r="AQ25" i="11"/>
  <c r="AR25" i="11" s="1"/>
  <c r="AQ24" i="11"/>
  <c r="AR24" i="11" s="1"/>
  <c r="AQ23" i="11"/>
  <c r="AR23" i="11" s="1"/>
  <c r="AQ22" i="11"/>
  <c r="AR22" i="11" s="1"/>
  <c r="AQ21" i="11"/>
  <c r="AR21" i="11" s="1"/>
  <c r="AQ20" i="11"/>
  <c r="AR20" i="11" s="1"/>
  <c r="AQ19" i="11"/>
  <c r="AR19" i="11" s="1"/>
  <c r="AQ18" i="11"/>
  <c r="AR18" i="11" s="1"/>
  <c r="AQ17" i="11"/>
  <c r="AR17" i="11" s="1"/>
  <c r="AQ16" i="11"/>
  <c r="AR16" i="11" s="1"/>
  <c r="AQ15" i="11"/>
  <c r="AR15" i="11" s="1"/>
  <c r="AQ14" i="11"/>
  <c r="AR14" i="11" s="1"/>
  <c r="AQ13" i="11"/>
  <c r="AR13" i="11" s="1"/>
  <c r="AQ12" i="11"/>
  <c r="AR12" i="11" s="1"/>
  <c r="AQ11" i="11"/>
  <c r="AR11" i="11" s="1"/>
  <c r="AQ10" i="11"/>
  <c r="AR10" i="11" s="1"/>
  <c r="AQ9" i="11"/>
  <c r="AR9" i="11" s="1"/>
  <c r="AQ8" i="11"/>
  <c r="AR8" i="11" s="1"/>
  <c r="AQ7" i="11"/>
  <c r="AR7" i="11" s="1"/>
  <c r="AQ6" i="11"/>
  <c r="AR6" i="11" s="1"/>
  <c r="AQ5" i="11"/>
  <c r="AR5" i="11" s="1"/>
  <c r="AQ4" i="11"/>
  <c r="AR4" i="11" s="1"/>
  <c r="AQ3" i="11"/>
  <c r="AR3" i="11" s="1"/>
  <c r="AQ2" i="11"/>
  <c r="AR2" i="11" s="1"/>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30" i="18"/>
  <c r="G31" i="18"/>
  <c r="G32" i="18"/>
  <c r="G33" i="18"/>
  <c r="G34" i="18"/>
  <c r="G35" i="18"/>
  <c r="G36" i="18"/>
  <c r="G37" i="18"/>
  <c r="G38" i="18"/>
  <c r="G39" i="18"/>
  <c r="G40" i="18"/>
  <c r="G41" i="18"/>
  <c r="G42" i="18"/>
  <c r="G43" i="18"/>
  <c r="G44" i="18"/>
  <c r="G45" i="18"/>
  <c r="G46" i="18"/>
  <c r="G47" i="18"/>
  <c r="G48" i="18"/>
  <c r="G49" i="18"/>
  <c r="G50" i="18"/>
  <c r="G51" i="18"/>
  <c r="G52" i="18"/>
  <c r="G53" i="18"/>
  <c r="G54" i="18"/>
  <c r="G55" i="18"/>
  <c r="G2" i="18"/>
  <c r="D2" i="12"/>
  <c r="H6" i="22"/>
  <c r="H9" i="22"/>
  <c r="H8" i="22"/>
  <c r="H7" i="22"/>
  <c r="H5" i="22"/>
  <c r="H4" i="22"/>
  <c r="H9" i="21"/>
  <c r="H8" i="21"/>
  <c r="H24" i="21" s="1"/>
  <c r="H7" i="21"/>
  <c r="J8" i="21" s="1"/>
  <c r="H6" i="21"/>
  <c r="H5" i="21"/>
  <c r="H4" i="21"/>
  <c r="D7" i="22"/>
  <c r="P5" i="20"/>
  <c r="Q13" i="20" s="1"/>
  <c r="P4" i="20"/>
  <c r="R13" i="20" s="1"/>
  <c r="P3" i="20"/>
  <c r="P13" i="20"/>
  <c r="P14" i="20"/>
  <c r="P12" i="20"/>
  <c r="O14" i="20"/>
  <c r="O13" i="20"/>
  <c r="O12" i="20"/>
  <c r="D13" i="20"/>
  <c r="D12" i="20"/>
  <c r="C14" i="20"/>
  <c r="F14" i="20" s="1"/>
  <c r="B14" i="20"/>
  <c r="C13" i="20"/>
  <c r="F13" i="20" s="1"/>
  <c r="B13" i="20"/>
  <c r="C12" i="20"/>
  <c r="F12" i="20" s="1"/>
  <c r="B12" i="20"/>
  <c r="C5" i="20"/>
  <c r="C4" i="20"/>
  <c r="E13" i="20" s="1"/>
  <c r="C3" i="20"/>
  <c r="D14" i="20" s="1"/>
  <c r="H20" i="21" l="1"/>
  <c r="H22" i="21" s="1"/>
  <c r="H25" i="21" s="1"/>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2" i="23"/>
  <c r="D3" i="23"/>
  <c r="G3" i="23" s="1"/>
  <c r="D4" i="23"/>
  <c r="G4" i="23" s="1"/>
  <c r="D5" i="23"/>
  <c r="G5" i="23" s="1"/>
  <c r="D6" i="23"/>
  <c r="G6" i="23" s="1"/>
  <c r="D7" i="23"/>
  <c r="G7" i="23" s="1"/>
  <c r="D8" i="23"/>
  <c r="G8" i="23" s="1"/>
  <c r="D9" i="23"/>
  <c r="G9" i="23" s="1"/>
  <c r="D10" i="23"/>
  <c r="G10" i="23" s="1"/>
  <c r="D11" i="23"/>
  <c r="G11" i="23" s="1"/>
  <c r="D12" i="23"/>
  <c r="G12" i="23" s="1"/>
  <c r="D13" i="23"/>
  <c r="G13" i="23" s="1"/>
  <c r="D14" i="23"/>
  <c r="G14" i="23" s="1"/>
  <c r="D15" i="23"/>
  <c r="G15" i="23" s="1"/>
  <c r="D16" i="23"/>
  <c r="G16" i="23" s="1"/>
  <c r="D17" i="23"/>
  <c r="G17" i="23" s="1"/>
  <c r="D18" i="23"/>
  <c r="G18" i="23" s="1"/>
  <c r="D19" i="23"/>
  <c r="G19" i="23" s="1"/>
  <c r="D20" i="23"/>
  <c r="G20" i="23" s="1"/>
  <c r="D21" i="23"/>
  <c r="G21" i="23" s="1"/>
  <c r="D22" i="23"/>
  <c r="G22" i="23" s="1"/>
  <c r="D23" i="23"/>
  <c r="G23" i="23" s="1"/>
  <c r="D24" i="23"/>
  <c r="G24" i="23" s="1"/>
  <c r="D25" i="23"/>
  <c r="G25" i="23" s="1"/>
  <c r="D26" i="23"/>
  <c r="G26" i="23" s="1"/>
  <c r="D27" i="23"/>
  <c r="G27" i="23" s="1"/>
  <c r="D28" i="23"/>
  <c r="G28" i="23" s="1"/>
  <c r="D29" i="23"/>
  <c r="G29" i="23" s="1"/>
  <c r="D30" i="23"/>
  <c r="G30" i="23" s="1"/>
  <c r="D31" i="23"/>
  <c r="G31" i="23" s="1"/>
  <c r="D32" i="23"/>
  <c r="G32" i="23" s="1"/>
  <c r="D33" i="23"/>
  <c r="G33" i="23" s="1"/>
  <c r="D34" i="23"/>
  <c r="G34" i="23" s="1"/>
  <c r="D35" i="23"/>
  <c r="G35" i="23" s="1"/>
  <c r="D36" i="23"/>
  <c r="G36" i="23" s="1"/>
  <c r="D37" i="23"/>
  <c r="G37" i="23" s="1"/>
  <c r="D38" i="23"/>
  <c r="G38" i="23" s="1"/>
  <c r="D39" i="23"/>
  <c r="G39" i="23" s="1"/>
  <c r="D40" i="23"/>
  <c r="G40" i="23" s="1"/>
  <c r="D41" i="23"/>
  <c r="G41" i="23" s="1"/>
  <c r="D42" i="23"/>
  <c r="G42" i="23" s="1"/>
  <c r="D43" i="23"/>
  <c r="G43" i="23" s="1"/>
  <c r="D44" i="23"/>
  <c r="G44" i="23" s="1"/>
  <c r="D45" i="23"/>
  <c r="G45" i="23" s="1"/>
  <c r="D46" i="23"/>
  <c r="G46" i="23" s="1"/>
  <c r="D47" i="23"/>
  <c r="G47" i="23" s="1"/>
  <c r="D48" i="23"/>
  <c r="G48" i="23" s="1"/>
  <c r="D49" i="23"/>
  <c r="G49" i="23" s="1"/>
  <c r="D50" i="23"/>
  <c r="G50" i="23" s="1"/>
  <c r="D51" i="23"/>
  <c r="G51" i="23" s="1"/>
  <c r="D52" i="23"/>
  <c r="G52" i="23" s="1"/>
  <c r="D53" i="23"/>
  <c r="G53" i="23" s="1"/>
  <c r="D54" i="23"/>
  <c r="G54" i="23" s="1"/>
  <c r="D55" i="23"/>
  <c r="G55" i="23" s="1"/>
  <c r="D2" i="23"/>
  <c r="G2" i="23" s="1"/>
  <c r="B65" i="23" s="1"/>
  <c r="B76" i="23" s="1"/>
  <c r="H20" i="22"/>
  <c r="H24" i="22" s="1"/>
  <c r="H21" i="22"/>
  <c r="H23" i="22" s="1"/>
  <c r="H26" i="22" s="1"/>
  <c r="S13" i="20"/>
  <c r="T13" i="20"/>
  <c r="U13" i="20"/>
  <c r="Q12" i="20"/>
  <c r="S12" i="20" s="1"/>
  <c r="E12" i="20"/>
  <c r="Q14" i="20"/>
  <c r="S14" i="20" s="1"/>
  <c r="E14" i="20"/>
  <c r="R12" i="20"/>
  <c r="R14" i="20"/>
  <c r="M5" i="19"/>
  <c r="M4" i="19"/>
  <c r="M2" i="19"/>
  <c r="M3" i="19"/>
  <c r="E325" i="19"/>
  <c r="D325" i="19"/>
  <c r="F325" i="19" s="1"/>
  <c r="E324" i="19"/>
  <c r="D324" i="19"/>
  <c r="F324" i="19" s="1"/>
  <c r="E323" i="19"/>
  <c r="D323" i="19"/>
  <c r="F323" i="19" s="1"/>
  <c r="E322" i="19"/>
  <c r="D322" i="19"/>
  <c r="F322" i="19" s="1"/>
  <c r="E321" i="19"/>
  <c r="D321" i="19"/>
  <c r="F321" i="19" s="1"/>
  <c r="E320" i="19"/>
  <c r="D320" i="19"/>
  <c r="F320" i="19" s="1"/>
  <c r="E319" i="19"/>
  <c r="D319" i="19"/>
  <c r="F319" i="19" s="1"/>
  <c r="E318" i="19"/>
  <c r="D318" i="19"/>
  <c r="F318" i="19" s="1"/>
  <c r="E317" i="19"/>
  <c r="D317" i="19"/>
  <c r="F317" i="19" s="1"/>
  <c r="E316" i="19"/>
  <c r="D316" i="19"/>
  <c r="F316" i="19" s="1"/>
  <c r="E315" i="19"/>
  <c r="D315" i="19"/>
  <c r="F315" i="19" s="1"/>
  <c r="E314" i="19"/>
  <c r="D314" i="19"/>
  <c r="F314" i="19" s="1"/>
  <c r="E313" i="19"/>
  <c r="D313" i="19"/>
  <c r="F313" i="19" s="1"/>
  <c r="E312" i="19"/>
  <c r="D312" i="19"/>
  <c r="F312" i="19" s="1"/>
  <c r="E311" i="19"/>
  <c r="D311" i="19"/>
  <c r="F311" i="19" s="1"/>
  <c r="E310" i="19"/>
  <c r="D310" i="19"/>
  <c r="F310" i="19" s="1"/>
  <c r="E309" i="19"/>
  <c r="D309" i="19"/>
  <c r="F309" i="19" s="1"/>
  <c r="E308" i="19"/>
  <c r="D308" i="19"/>
  <c r="F308" i="19" s="1"/>
  <c r="E307" i="19"/>
  <c r="D307" i="19"/>
  <c r="F307" i="19" s="1"/>
  <c r="E306" i="19"/>
  <c r="D306" i="19"/>
  <c r="F306" i="19" s="1"/>
  <c r="E305" i="19"/>
  <c r="D305" i="19"/>
  <c r="F305" i="19" s="1"/>
  <c r="E304" i="19"/>
  <c r="D304" i="19"/>
  <c r="F304" i="19" s="1"/>
  <c r="E303" i="19"/>
  <c r="D303" i="19"/>
  <c r="F303" i="19" s="1"/>
  <c r="E302" i="19"/>
  <c r="D302" i="19"/>
  <c r="F302" i="19" s="1"/>
  <c r="E301" i="19"/>
  <c r="D301" i="19"/>
  <c r="F301" i="19" s="1"/>
  <c r="E300" i="19"/>
  <c r="D300" i="19"/>
  <c r="F300" i="19" s="1"/>
  <c r="E299" i="19"/>
  <c r="D299" i="19"/>
  <c r="F299" i="19" s="1"/>
  <c r="E298" i="19"/>
  <c r="D298" i="19"/>
  <c r="F298" i="19" s="1"/>
  <c r="E297" i="19"/>
  <c r="D297" i="19"/>
  <c r="F297" i="19" s="1"/>
  <c r="E296" i="19"/>
  <c r="D296" i="19"/>
  <c r="F296" i="19" s="1"/>
  <c r="E295" i="19"/>
  <c r="D295" i="19"/>
  <c r="F295" i="19" s="1"/>
  <c r="E294" i="19"/>
  <c r="D294" i="19"/>
  <c r="F294" i="19" s="1"/>
  <c r="E293" i="19"/>
  <c r="D293" i="19"/>
  <c r="F293" i="19" s="1"/>
  <c r="E292" i="19"/>
  <c r="D292" i="19"/>
  <c r="F292" i="19" s="1"/>
  <c r="E291" i="19"/>
  <c r="D291" i="19"/>
  <c r="F291" i="19" s="1"/>
  <c r="E290" i="19"/>
  <c r="D290" i="19"/>
  <c r="F290" i="19" s="1"/>
  <c r="E289" i="19"/>
  <c r="D289" i="19"/>
  <c r="F289" i="19" s="1"/>
  <c r="E288" i="19"/>
  <c r="D288" i="19"/>
  <c r="F288" i="19" s="1"/>
  <c r="E287" i="19"/>
  <c r="D287" i="19"/>
  <c r="F287" i="19" s="1"/>
  <c r="E286" i="19"/>
  <c r="D286" i="19"/>
  <c r="F286" i="19" s="1"/>
  <c r="E285" i="19"/>
  <c r="D285" i="19"/>
  <c r="F285" i="19" s="1"/>
  <c r="E284" i="19"/>
  <c r="D284" i="19"/>
  <c r="F284" i="19" s="1"/>
  <c r="E283" i="19"/>
  <c r="D283" i="19"/>
  <c r="F283" i="19" s="1"/>
  <c r="E282" i="19"/>
  <c r="D282" i="19"/>
  <c r="F282" i="19" s="1"/>
  <c r="E281" i="19"/>
  <c r="D281" i="19"/>
  <c r="F281" i="19" s="1"/>
  <c r="E280" i="19"/>
  <c r="D280" i="19"/>
  <c r="F280" i="19" s="1"/>
  <c r="E279" i="19"/>
  <c r="D279" i="19"/>
  <c r="F279" i="19" s="1"/>
  <c r="E278" i="19"/>
  <c r="D278" i="19"/>
  <c r="F278" i="19" s="1"/>
  <c r="E277" i="19"/>
  <c r="D277" i="19"/>
  <c r="F277" i="19" s="1"/>
  <c r="E276" i="19"/>
  <c r="D276" i="19"/>
  <c r="F276" i="19" s="1"/>
  <c r="E275" i="19"/>
  <c r="D275" i="19"/>
  <c r="F275" i="19" s="1"/>
  <c r="E274" i="19"/>
  <c r="D274" i="19"/>
  <c r="F274" i="19" s="1"/>
  <c r="E273" i="19"/>
  <c r="D273" i="19"/>
  <c r="F273" i="19" s="1"/>
  <c r="E272" i="19"/>
  <c r="D272" i="19"/>
  <c r="F272" i="19" s="1"/>
  <c r="E271" i="19"/>
  <c r="D271" i="19"/>
  <c r="F271" i="19" s="1"/>
  <c r="E270" i="19"/>
  <c r="D270" i="19"/>
  <c r="F270" i="19" s="1"/>
  <c r="E269" i="19"/>
  <c r="D269" i="19"/>
  <c r="F269" i="19" s="1"/>
  <c r="E268" i="19"/>
  <c r="D268" i="19"/>
  <c r="F268" i="19" s="1"/>
  <c r="E267" i="19"/>
  <c r="D267" i="19"/>
  <c r="F267" i="19" s="1"/>
  <c r="E266" i="19"/>
  <c r="D266" i="19"/>
  <c r="F266" i="19" s="1"/>
  <c r="E265" i="19"/>
  <c r="D265" i="19"/>
  <c r="F265" i="19" s="1"/>
  <c r="E264" i="19"/>
  <c r="D264" i="19"/>
  <c r="F264" i="19" s="1"/>
  <c r="E263" i="19"/>
  <c r="D263" i="19"/>
  <c r="F263" i="19" s="1"/>
  <c r="E262" i="19"/>
  <c r="D262" i="19"/>
  <c r="F262" i="19" s="1"/>
  <c r="E261" i="19"/>
  <c r="D261" i="19"/>
  <c r="F261" i="19" s="1"/>
  <c r="E260" i="19"/>
  <c r="D260" i="19"/>
  <c r="F260" i="19" s="1"/>
  <c r="E259" i="19"/>
  <c r="D259" i="19"/>
  <c r="F259" i="19" s="1"/>
  <c r="E258" i="19"/>
  <c r="D258" i="19"/>
  <c r="F258" i="19" s="1"/>
  <c r="E257" i="19"/>
  <c r="D257" i="19"/>
  <c r="F257" i="19" s="1"/>
  <c r="E256" i="19"/>
  <c r="D256" i="19"/>
  <c r="F256" i="19" s="1"/>
  <c r="E255" i="19"/>
  <c r="D255" i="19"/>
  <c r="F255" i="19" s="1"/>
  <c r="E254" i="19"/>
  <c r="D254" i="19"/>
  <c r="F254" i="19" s="1"/>
  <c r="E253" i="19"/>
  <c r="D253" i="19"/>
  <c r="F253" i="19" s="1"/>
  <c r="E252" i="19"/>
  <c r="D252" i="19"/>
  <c r="F252" i="19" s="1"/>
  <c r="E251" i="19"/>
  <c r="D251" i="19"/>
  <c r="F251" i="19" s="1"/>
  <c r="E250" i="19"/>
  <c r="D250" i="19"/>
  <c r="F250" i="19" s="1"/>
  <c r="E249" i="19"/>
  <c r="D249" i="19"/>
  <c r="F249" i="19" s="1"/>
  <c r="E248" i="19"/>
  <c r="D248" i="19"/>
  <c r="F248" i="19" s="1"/>
  <c r="E247" i="19"/>
  <c r="D247" i="19"/>
  <c r="F247" i="19" s="1"/>
  <c r="E246" i="19"/>
  <c r="D246" i="19"/>
  <c r="F246" i="19" s="1"/>
  <c r="E245" i="19"/>
  <c r="D245" i="19"/>
  <c r="F245" i="19" s="1"/>
  <c r="E244" i="19"/>
  <c r="D244" i="19"/>
  <c r="F244" i="19" s="1"/>
  <c r="E243" i="19"/>
  <c r="D243" i="19"/>
  <c r="F243" i="19" s="1"/>
  <c r="E242" i="19"/>
  <c r="D242" i="19"/>
  <c r="F242" i="19" s="1"/>
  <c r="E241" i="19"/>
  <c r="D241" i="19"/>
  <c r="F241" i="19" s="1"/>
  <c r="E240" i="19"/>
  <c r="D240" i="19"/>
  <c r="F240" i="19" s="1"/>
  <c r="E239" i="19"/>
  <c r="D239" i="19"/>
  <c r="F239" i="19" s="1"/>
  <c r="E238" i="19"/>
  <c r="D238" i="19"/>
  <c r="F238" i="19" s="1"/>
  <c r="E237" i="19"/>
  <c r="D237" i="19"/>
  <c r="F237" i="19" s="1"/>
  <c r="E236" i="19"/>
  <c r="D236" i="19"/>
  <c r="F236" i="19" s="1"/>
  <c r="E235" i="19"/>
  <c r="D235" i="19"/>
  <c r="F235" i="19" s="1"/>
  <c r="E234" i="19"/>
  <c r="D234" i="19"/>
  <c r="F234" i="19" s="1"/>
  <c r="E233" i="19"/>
  <c r="D233" i="19"/>
  <c r="F233" i="19" s="1"/>
  <c r="E232" i="19"/>
  <c r="D232" i="19"/>
  <c r="F232" i="19" s="1"/>
  <c r="E231" i="19"/>
  <c r="D231" i="19"/>
  <c r="F231" i="19" s="1"/>
  <c r="E230" i="19"/>
  <c r="D230" i="19"/>
  <c r="F230" i="19" s="1"/>
  <c r="E229" i="19"/>
  <c r="D229" i="19"/>
  <c r="F229" i="19" s="1"/>
  <c r="E228" i="19"/>
  <c r="D228" i="19"/>
  <c r="F228" i="19" s="1"/>
  <c r="E227" i="19"/>
  <c r="D227" i="19"/>
  <c r="F227" i="19" s="1"/>
  <c r="E226" i="19"/>
  <c r="D226" i="19"/>
  <c r="F226" i="19" s="1"/>
  <c r="E225" i="19"/>
  <c r="D225" i="19"/>
  <c r="F225" i="19" s="1"/>
  <c r="E224" i="19"/>
  <c r="D224" i="19"/>
  <c r="F224" i="19" s="1"/>
  <c r="E223" i="19"/>
  <c r="D223" i="19"/>
  <c r="F223" i="19" s="1"/>
  <c r="E222" i="19"/>
  <c r="D222" i="19"/>
  <c r="F222" i="19" s="1"/>
  <c r="E221" i="19"/>
  <c r="D221" i="19"/>
  <c r="F221" i="19" s="1"/>
  <c r="E220" i="19"/>
  <c r="D220" i="19"/>
  <c r="F220" i="19" s="1"/>
  <c r="E219" i="19"/>
  <c r="D219" i="19"/>
  <c r="F219" i="19" s="1"/>
  <c r="E218" i="19"/>
  <c r="D218" i="19"/>
  <c r="F218" i="19" s="1"/>
  <c r="E217" i="19"/>
  <c r="D217" i="19"/>
  <c r="F217" i="19" s="1"/>
  <c r="E216" i="19"/>
  <c r="D216" i="19"/>
  <c r="F216" i="19" s="1"/>
  <c r="E215" i="19"/>
  <c r="D215" i="19"/>
  <c r="F215" i="19" s="1"/>
  <c r="E214" i="19"/>
  <c r="D214" i="19"/>
  <c r="F214" i="19" s="1"/>
  <c r="E213" i="19"/>
  <c r="D213" i="19"/>
  <c r="F213" i="19" s="1"/>
  <c r="E212" i="19"/>
  <c r="D212" i="19"/>
  <c r="F212" i="19" s="1"/>
  <c r="E211" i="19"/>
  <c r="D211" i="19"/>
  <c r="F211" i="19" s="1"/>
  <c r="E210" i="19"/>
  <c r="D210" i="19"/>
  <c r="F210" i="19" s="1"/>
  <c r="E209" i="19"/>
  <c r="D209" i="19"/>
  <c r="F209" i="19" s="1"/>
  <c r="E208" i="19"/>
  <c r="D208" i="19"/>
  <c r="F208" i="19" s="1"/>
  <c r="E207" i="19"/>
  <c r="D207" i="19"/>
  <c r="F207" i="19" s="1"/>
  <c r="E206" i="19"/>
  <c r="D206" i="19"/>
  <c r="F206" i="19" s="1"/>
  <c r="E205" i="19"/>
  <c r="D205" i="19"/>
  <c r="F205" i="19" s="1"/>
  <c r="E204" i="19"/>
  <c r="D204" i="19"/>
  <c r="F204" i="19" s="1"/>
  <c r="E203" i="19"/>
  <c r="D203" i="19"/>
  <c r="F203" i="19" s="1"/>
  <c r="E202" i="19"/>
  <c r="D202" i="19"/>
  <c r="F202" i="19" s="1"/>
  <c r="E201" i="19"/>
  <c r="D201" i="19"/>
  <c r="F201" i="19" s="1"/>
  <c r="E200" i="19"/>
  <c r="D200" i="19"/>
  <c r="F200" i="19" s="1"/>
  <c r="E199" i="19"/>
  <c r="D199" i="19"/>
  <c r="F199" i="19" s="1"/>
  <c r="E198" i="19"/>
  <c r="D198" i="19"/>
  <c r="F198" i="19" s="1"/>
  <c r="E197" i="19"/>
  <c r="D197" i="19"/>
  <c r="F197" i="19" s="1"/>
  <c r="E196" i="19"/>
  <c r="D196" i="19"/>
  <c r="F196" i="19" s="1"/>
  <c r="E195" i="19"/>
  <c r="D195" i="19"/>
  <c r="F195" i="19" s="1"/>
  <c r="E194" i="19"/>
  <c r="D194" i="19"/>
  <c r="F194" i="19" s="1"/>
  <c r="E193" i="19"/>
  <c r="D193" i="19"/>
  <c r="F193" i="19" s="1"/>
  <c r="E192" i="19"/>
  <c r="D192" i="19"/>
  <c r="F192" i="19" s="1"/>
  <c r="E191" i="19"/>
  <c r="D191" i="19"/>
  <c r="F191" i="19" s="1"/>
  <c r="E190" i="19"/>
  <c r="D190" i="19"/>
  <c r="F190" i="19" s="1"/>
  <c r="E189" i="19"/>
  <c r="D189" i="19"/>
  <c r="F189" i="19" s="1"/>
  <c r="E188" i="19"/>
  <c r="D188" i="19"/>
  <c r="F188" i="19" s="1"/>
  <c r="E187" i="19"/>
  <c r="D187" i="19"/>
  <c r="F187" i="19" s="1"/>
  <c r="E186" i="19"/>
  <c r="D186" i="19"/>
  <c r="F186" i="19" s="1"/>
  <c r="E185" i="19"/>
  <c r="D185" i="19"/>
  <c r="F185" i="19" s="1"/>
  <c r="E184" i="19"/>
  <c r="D184" i="19"/>
  <c r="F184" i="19" s="1"/>
  <c r="E183" i="19"/>
  <c r="D183" i="19"/>
  <c r="F183" i="19" s="1"/>
  <c r="E182" i="19"/>
  <c r="D182" i="19"/>
  <c r="F182" i="19" s="1"/>
  <c r="E181" i="19"/>
  <c r="D181" i="19"/>
  <c r="F181" i="19" s="1"/>
  <c r="E180" i="19"/>
  <c r="D180" i="19"/>
  <c r="F180" i="19" s="1"/>
  <c r="E179" i="19"/>
  <c r="D179" i="19"/>
  <c r="F179" i="19" s="1"/>
  <c r="E178" i="19"/>
  <c r="D178" i="19"/>
  <c r="F178" i="19" s="1"/>
  <c r="E177" i="19"/>
  <c r="D177" i="19"/>
  <c r="F177" i="19" s="1"/>
  <c r="E176" i="19"/>
  <c r="D176" i="19"/>
  <c r="F176" i="19" s="1"/>
  <c r="E175" i="19"/>
  <c r="D175" i="19"/>
  <c r="F175" i="19" s="1"/>
  <c r="E174" i="19"/>
  <c r="D174" i="19"/>
  <c r="F174" i="19" s="1"/>
  <c r="E173" i="19"/>
  <c r="D173" i="19"/>
  <c r="F173" i="19" s="1"/>
  <c r="E172" i="19"/>
  <c r="D172" i="19"/>
  <c r="F172" i="19" s="1"/>
  <c r="E171" i="19"/>
  <c r="D171" i="19"/>
  <c r="F171" i="19" s="1"/>
  <c r="E170" i="19"/>
  <c r="D170" i="19"/>
  <c r="F170" i="19" s="1"/>
  <c r="E169" i="19"/>
  <c r="D169" i="19"/>
  <c r="F169" i="19" s="1"/>
  <c r="E168" i="19"/>
  <c r="D168" i="19"/>
  <c r="F168" i="19" s="1"/>
  <c r="E167" i="19"/>
  <c r="D167" i="19"/>
  <c r="F167" i="19" s="1"/>
  <c r="E166" i="19"/>
  <c r="D166" i="19"/>
  <c r="F166" i="19" s="1"/>
  <c r="E165" i="19"/>
  <c r="D165" i="19"/>
  <c r="F165" i="19" s="1"/>
  <c r="E164" i="19"/>
  <c r="D164" i="19"/>
  <c r="F164" i="19" s="1"/>
  <c r="E163" i="19"/>
  <c r="D163" i="19"/>
  <c r="F163" i="19" s="1"/>
  <c r="E162" i="19"/>
  <c r="D162" i="19"/>
  <c r="F162" i="19" s="1"/>
  <c r="E161" i="19"/>
  <c r="D161" i="19"/>
  <c r="F161" i="19" s="1"/>
  <c r="E160" i="19"/>
  <c r="D160" i="19"/>
  <c r="F160" i="19" s="1"/>
  <c r="E159" i="19"/>
  <c r="D159" i="19"/>
  <c r="F159" i="19" s="1"/>
  <c r="E158" i="19"/>
  <c r="D158" i="19"/>
  <c r="F158" i="19" s="1"/>
  <c r="E157" i="19"/>
  <c r="D157" i="19"/>
  <c r="F157" i="19" s="1"/>
  <c r="E156" i="19"/>
  <c r="D156" i="19"/>
  <c r="F156" i="19" s="1"/>
  <c r="E155" i="19"/>
  <c r="D155" i="19"/>
  <c r="F155" i="19" s="1"/>
  <c r="E154" i="19"/>
  <c r="D154" i="19"/>
  <c r="F154" i="19" s="1"/>
  <c r="E153" i="19"/>
  <c r="D153" i="19"/>
  <c r="F153" i="19" s="1"/>
  <c r="E152" i="19"/>
  <c r="D152" i="19"/>
  <c r="F152" i="19" s="1"/>
  <c r="E151" i="19"/>
  <c r="D151" i="19"/>
  <c r="F151" i="19" s="1"/>
  <c r="E150" i="19"/>
  <c r="D150" i="19"/>
  <c r="F150" i="19" s="1"/>
  <c r="E149" i="19"/>
  <c r="D149" i="19"/>
  <c r="F149" i="19" s="1"/>
  <c r="E148" i="19"/>
  <c r="D148" i="19"/>
  <c r="F148" i="19" s="1"/>
  <c r="E147" i="19"/>
  <c r="D147" i="19"/>
  <c r="F147" i="19" s="1"/>
  <c r="E146" i="19"/>
  <c r="D146" i="19"/>
  <c r="F146" i="19" s="1"/>
  <c r="E145" i="19"/>
  <c r="D145" i="19"/>
  <c r="F145" i="19" s="1"/>
  <c r="E144" i="19"/>
  <c r="D144" i="19"/>
  <c r="F144" i="19" s="1"/>
  <c r="E143" i="19"/>
  <c r="D143" i="19"/>
  <c r="F143" i="19" s="1"/>
  <c r="E142" i="19"/>
  <c r="D142" i="19"/>
  <c r="F142" i="19" s="1"/>
  <c r="E141" i="19"/>
  <c r="D141" i="19"/>
  <c r="F141" i="19" s="1"/>
  <c r="E140" i="19"/>
  <c r="D140" i="19"/>
  <c r="F140" i="19" s="1"/>
  <c r="E139" i="19"/>
  <c r="D139" i="19"/>
  <c r="F139" i="19" s="1"/>
  <c r="E138" i="19"/>
  <c r="D138" i="19"/>
  <c r="F138" i="19" s="1"/>
  <c r="E137" i="19"/>
  <c r="D137" i="19"/>
  <c r="F137" i="19" s="1"/>
  <c r="E136" i="19"/>
  <c r="D136" i="19"/>
  <c r="F136" i="19" s="1"/>
  <c r="E135" i="19"/>
  <c r="D135" i="19"/>
  <c r="F135" i="19" s="1"/>
  <c r="E134" i="19"/>
  <c r="D134" i="19"/>
  <c r="F134" i="19" s="1"/>
  <c r="E133" i="19"/>
  <c r="D133" i="19"/>
  <c r="F133" i="19" s="1"/>
  <c r="E132" i="19"/>
  <c r="D132" i="19"/>
  <c r="F132" i="19" s="1"/>
  <c r="E131" i="19"/>
  <c r="D131" i="19"/>
  <c r="F131" i="19" s="1"/>
  <c r="E130" i="19"/>
  <c r="D130" i="19"/>
  <c r="F130" i="19" s="1"/>
  <c r="E129" i="19"/>
  <c r="D129" i="19"/>
  <c r="F129" i="19" s="1"/>
  <c r="E128" i="19"/>
  <c r="D128" i="19"/>
  <c r="F128" i="19" s="1"/>
  <c r="E127" i="19"/>
  <c r="D127" i="19"/>
  <c r="F127" i="19" s="1"/>
  <c r="E126" i="19"/>
  <c r="D126" i="19"/>
  <c r="F126" i="19" s="1"/>
  <c r="E125" i="19"/>
  <c r="D125" i="19"/>
  <c r="F125" i="19" s="1"/>
  <c r="E124" i="19"/>
  <c r="D124" i="19"/>
  <c r="F124" i="19" s="1"/>
  <c r="E123" i="19"/>
  <c r="D123" i="19"/>
  <c r="F123" i="19" s="1"/>
  <c r="E122" i="19"/>
  <c r="D122" i="19"/>
  <c r="F122" i="19" s="1"/>
  <c r="E121" i="19"/>
  <c r="D121" i="19"/>
  <c r="F121" i="19" s="1"/>
  <c r="E120" i="19"/>
  <c r="D120" i="19"/>
  <c r="F120" i="19" s="1"/>
  <c r="E119" i="19"/>
  <c r="D119" i="19"/>
  <c r="F119" i="19" s="1"/>
  <c r="E118" i="19"/>
  <c r="D118" i="19"/>
  <c r="F118" i="19" s="1"/>
  <c r="E117" i="19"/>
  <c r="D117" i="19"/>
  <c r="F117" i="19" s="1"/>
  <c r="E116" i="19"/>
  <c r="D116" i="19"/>
  <c r="F116" i="19" s="1"/>
  <c r="E115" i="19"/>
  <c r="D115" i="19"/>
  <c r="F115" i="19" s="1"/>
  <c r="E114" i="19"/>
  <c r="D114" i="19"/>
  <c r="F114" i="19" s="1"/>
  <c r="E113" i="19"/>
  <c r="D113" i="19"/>
  <c r="F113" i="19" s="1"/>
  <c r="E112" i="19"/>
  <c r="D112" i="19"/>
  <c r="F112" i="19" s="1"/>
  <c r="E111" i="19"/>
  <c r="D111" i="19"/>
  <c r="F111" i="19" s="1"/>
  <c r="E110" i="19"/>
  <c r="D110" i="19"/>
  <c r="F110" i="19" s="1"/>
  <c r="E109" i="19"/>
  <c r="D109" i="19"/>
  <c r="F109" i="19" s="1"/>
  <c r="E108" i="19"/>
  <c r="D108" i="19"/>
  <c r="F108" i="19" s="1"/>
  <c r="E107" i="19"/>
  <c r="D107" i="19"/>
  <c r="F107" i="19" s="1"/>
  <c r="E106" i="19"/>
  <c r="D106" i="19"/>
  <c r="F106" i="19" s="1"/>
  <c r="E105" i="19"/>
  <c r="D105" i="19"/>
  <c r="F105" i="19" s="1"/>
  <c r="E104" i="19"/>
  <c r="D104" i="19"/>
  <c r="F104" i="19" s="1"/>
  <c r="E103" i="19"/>
  <c r="D103" i="19"/>
  <c r="F103" i="19" s="1"/>
  <c r="E102" i="19"/>
  <c r="D102" i="19"/>
  <c r="F102" i="19" s="1"/>
  <c r="E101" i="19"/>
  <c r="D101" i="19"/>
  <c r="F101" i="19" s="1"/>
  <c r="E100" i="19"/>
  <c r="D100" i="19"/>
  <c r="F100" i="19" s="1"/>
  <c r="E99" i="19"/>
  <c r="D99" i="19"/>
  <c r="F99" i="19" s="1"/>
  <c r="E98" i="19"/>
  <c r="D98" i="19"/>
  <c r="F98" i="19" s="1"/>
  <c r="E97" i="19"/>
  <c r="D97" i="19"/>
  <c r="F97" i="19" s="1"/>
  <c r="E96" i="19"/>
  <c r="D96" i="19"/>
  <c r="F96" i="19" s="1"/>
  <c r="E95" i="19"/>
  <c r="D95" i="19"/>
  <c r="F95" i="19" s="1"/>
  <c r="E94" i="19"/>
  <c r="D94" i="19"/>
  <c r="F94" i="19" s="1"/>
  <c r="E93" i="19"/>
  <c r="D93" i="19"/>
  <c r="F93" i="19" s="1"/>
  <c r="E92" i="19"/>
  <c r="D92" i="19"/>
  <c r="F92" i="19" s="1"/>
  <c r="E91" i="19"/>
  <c r="D91" i="19"/>
  <c r="F91" i="19" s="1"/>
  <c r="E90" i="19"/>
  <c r="D90" i="19"/>
  <c r="F90" i="19" s="1"/>
  <c r="E89" i="19"/>
  <c r="D89" i="19"/>
  <c r="F89" i="19" s="1"/>
  <c r="E88" i="19"/>
  <c r="D88" i="19"/>
  <c r="F88" i="19" s="1"/>
  <c r="E87" i="19"/>
  <c r="D87" i="19"/>
  <c r="F87" i="19" s="1"/>
  <c r="E86" i="19"/>
  <c r="D86" i="19"/>
  <c r="F86" i="19" s="1"/>
  <c r="E85" i="19"/>
  <c r="D85" i="19"/>
  <c r="F85" i="19" s="1"/>
  <c r="E84" i="19"/>
  <c r="D84" i="19"/>
  <c r="F84" i="19" s="1"/>
  <c r="E83" i="19"/>
  <c r="D83" i="19"/>
  <c r="F83" i="19" s="1"/>
  <c r="E82" i="19"/>
  <c r="D82" i="19"/>
  <c r="F82" i="19" s="1"/>
  <c r="E81" i="19"/>
  <c r="D81" i="19"/>
  <c r="F81" i="19" s="1"/>
  <c r="E80" i="19"/>
  <c r="D80" i="19"/>
  <c r="F80" i="19" s="1"/>
  <c r="E79" i="19"/>
  <c r="D79" i="19"/>
  <c r="F79" i="19" s="1"/>
  <c r="E78" i="19"/>
  <c r="D78" i="19"/>
  <c r="F78" i="19" s="1"/>
  <c r="E77" i="19"/>
  <c r="D77" i="19"/>
  <c r="F77" i="19" s="1"/>
  <c r="E76" i="19"/>
  <c r="D76" i="19"/>
  <c r="F76" i="19" s="1"/>
  <c r="E75" i="19"/>
  <c r="D75" i="19"/>
  <c r="F75" i="19" s="1"/>
  <c r="E74" i="19"/>
  <c r="D74" i="19"/>
  <c r="F74" i="19" s="1"/>
  <c r="E73" i="19"/>
  <c r="D73" i="19"/>
  <c r="F73" i="19" s="1"/>
  <c r="E72" i="19"/>
  <c r="D72" i="19"/>
  <c r="F72" i="19" s="1"/>
  <c r="E71" i="19"/>
  <c r="D71" i="19"/>
  <c r="F71" i="19" s="1"/>
  <c r="E70" i="19"/>
  <c r="D70" i="19"/>
  <c r="F70" i="19" s="1"/>
  <c r="E69" i="19"/>
  <c r="D69" i="19"/>
  <c r="F69" i="19" s="1"/>
  <c r="E68" i="19"/>
  <c r="D68" i="19"/>
  <c r="F68" i="19" s="1"/>
  <c r="E67" i="19"/>
  <c r="D67" i="19"/>
  <c r="F67" i="19" s="1"/>
  <c r="E66" i="19"/>
  <c r="D66" i="19"/>
  <c r="F66" i="19" s="1"/>
  <c r="E65" i="19"/>
  <c r="D65" i="19"/>
  <c r="F65" i="19" s="1"/>
  <c r="E64" i="19"/>
  <c r="D64" i="19"/>
  <c r="F64" i="19" s="1"/>
  <c r="E63" i="19"/>
  <c r="D63" i="19"/>
  <c r="F63" i="19" s="1"/>
  <c r="E62" i="19"/>
  <c r="D62" i="19"/>
  <c r="F62" i="19" s="1"/>
  <c r="E61" i="19"/>
  <c r="D61" i="19"/>
  <c r="F61" i="19" s="1"/>
  <c r="E60" i="19"/>
  <c r="D60" i="19"/>
  <c r="F60" i="19" s="1"/>
  <c r="E59" i="19"/>
  <c r="D59" i="19"/>
  <c r="F59" i="19" s="1"/>
  <c r="E58" i="19"/>
  <c r="D58" i="19"/>
  <c r="F58" i="19" s="1"/>
  <c r="E57" i="19"/>
  <c r="D57" i="19"/>
  <c r="F57" i="19" s="1"/>
  <c r="E56" i="19"/>
  <c r="D56" i="19"/>
  <c r="F56" i="19" s="1"/>
  <c r="E55" i="19"/>
  <c r="D55" i="19"/>
  <c r="F55" i="19" s="1"/>
  <c r="E54" i="19"/>
  <c r="D54" i="19"/>
  <c r="F54" i="19" s="1"/>
  <c r="E53" i="19"/>
  <c r="D53" i="19"/>
  <c r="F53" i="19" s="1"/>
  <c r="E52" i="19"/>
  <c r="D52" i="19"/>
  <c r="F52" i="19" s="1"/>
  <c r="E51" i="19"/>
  <c r="D51" i="19"/>
  <c r="F51" i="19" s="1"/>
  <c r="E50" i="19"/>
  <c r="D50" i="19"/>
  <c r="F50" i="19" s="1"/>
  <c r="E49" i="19"/>
  <c r="D49" i="19"/>
  <c r="F49" i="19" s="1"/>
  <c r="E48" i="19"/>
  <c r="D48" i="19"/>
  <c r="F48" i="19" s="1"/>
  <c r="E47" i="19"/>
  <c r="D47" i="19"/>
  <c r="F47" i="19" s="1"/>
  <c r="E46" i="19"/>
  <c r="D46" i="19"/>
  <c r="F46" i="19" s="1"/>
  <c r="E45" i="19"/>
  <c r="D45" i="19"/>
  <c r="F45" i="19" s="1"/>
  <c r="E44" i="19"/>
  <c r="D44" i="19"/>
  <c r="F44" i="19" s="1"/>
  <c r="E43" i="19"/>
  <c r="D43" i="19"/>
  <c r="F43" i="19" s="1"/>
  <c r="E42" i="19"/>
  <c r="D42" i="19"/>
  <c r="F42" i="19" s="1"/>
  <c r="E41" i="19"/>
  <c r="D41" i="19"/>
  <c r="F41" i="19" s="1"/>
  <c r="E40" i="19"/>
  <c r="D40" i="19"/>
  <c r="F40" i="19" s="1"/>
  <c r="E39" i="19"/>
  <c r="D39" i="19"/>
  <c r="F39" i="19" s="1"/>
  <c r="E38" i="19"/>
  <c r="D38" i="19"/>
  <c r="F38" i="19" s="1"/>
  <c r="E37" i="19"/>
  <c r="D37" i="19"/>
  <c r="F37" i="19" s="1"/>
  <c r="E36" i="19"/>
  <c r="D36" i="19"/>
  <c r="F36" i="19" s="1"/>
  <c r="E35" i="19"/>
  <c r="D35" i="19"/>
  <c r="F35" i="19" s="1"/>
  <c r="E34" i="19"/>
  <c r="D34" i="19"/>
  <c r="F34" i="19" s="1"/>
  <c r="E33" i="19"/>
  <c r="D33" i="19"/>
  <c r="F33" i="19" s="1"/>
  <c r="E32" i="19"/>
  <c r="D32" i="19"/>
  <c r="F32" i="19" s="1"/>
  <c r="E31" i="19"/>
  <c r="D31" i="19"/>
  <c r="F31" i="19" s="1"/>
  <c r="E30" i="19"/>
  <c r="D30" i="19"/>
  <c r="F30" i="19" s="1"/>
  <c r="E29" i="19"/>
  <c r="D29" i="19"/>
  <c r="F29" i="19" s="1"/>
  <c r="E28" i="19"/>
  <c r="D28" i="19"/>
  <c r="F28" i="19" s="1"/>
  <c r="E27" i="19"/>
  <c r="D27" i="19"/>
  <c r="F27" i="19" s="1"/>
  <c r="E26" i="19"/>
  <c r="D26" i="19"/>
  <c r="F26" i="19" s="1"/>
  <c r="E25" i="19"/>
  <c r="D25" i="19"/>
  <c r="F25" i="19" s="1"/>
  <c r="E24" i="19"/>
  <c r="D24" i="19"/>
  <c r="F24" i="19" s="1"/>
  <c r="E23" i="19"/>
  <c r="D23" i="19"/>
  <c r="F23" i="19" s="1"/>
  <c r="E22" i="19"/>
  <c r="D22" i="19"/>
  <c r="F22" i="19" s="1"/>
  <c r="E21" i="19"/>
  <c r="D21" i="19"/>
  <c r="F21" i="19" s="1"/>
  <c r="E20" i="19"/>
  <c r="D20" i="19"/>
  <c r="F20" i="19" s="1"/>
  <c r="E19" i="19"/>
  <c r="D19" i="19"/>
  <c r="F19" i="19" s="1"/>
  <c r="E18" i="19"/>
  <c r="D18" i="19"/>
  <c r="F18" i="19" s="1"/>
  <c r="E17" i="19"/>
  <c r="D17" i="19"/>
  <c r="F17" i="19" s="1"/>
  <c r="E16" i="19"/>
  <c r="D16" i="19"/>
  <c r="F16" i="19" s="1"/>
  <c r="E15" i="19"/>
  <c r="D15" i="19"/>
  <c r="F15" i="19" s="1"/>
  <c r="E14" i="19"/>
  <c r="D14" i="19"/>
  <c r="F14" i="19" s="1"/>
  <c r="E13" i="19"/>
  <c r="D13" i="19"/>
  <c r="F13" i="19" s="1"/>
  <c r="E12" i="19"/>
  <c r="D12" i="19"/>
  <c r="F12" i="19" s="1"/>
  <c r="E11" i="19"/>
  <c r="D11" i="19"/>
  <c r="F11" i="19" s="1"/>
  <c r="E10" i="19"/>
  <c r="D10" i="19"/>
  <c r="F10" i="19" s="1"/>
  <c r="E9" i="19"/>
  <c r="D9" i="19"/>
  <c r="F9" i="19" s="1"/>
  <c r="E8" i="19"/>
  <c r="D8" i="19"/>
  <c r="F8" i="19" s="1"/>
  <c r="E7" i="19"/>
  <c r="D7" i="19"/>
  <c r="F7" i="19" s="1"/>
  <c r="E6" i="19"/>
  <c r="D6" i="19"/>
  <c r="F6" i="19" s="1"/>
  <c r="E5" i="19"/>
  <c r="D5" i="19"/>
  <c r="F5" i="19" s="1"/>
  <c r="E4" i="19"/>
  <c r="D4" i="19"/>
  <c r="F4" i="19" s="1"/>
  <c r="E3" i="19"/>
  <c r="D3" i="19"/>
  <c r="F3" i="19" s="1"/>
  <c r="E2" i="19"/>
  <c r="D2" i="19"/>
  <c r="F2" i="19" s="1"/>
  <c r="N36" i="11"/>
  <c r="N35" i="11"/>
  <c r="N34" i="11"/>
  <c r="N33" i="11"/>
  <c r="N32" i="11"/>
  <c r="C36" i="11"/>
  <c r="C35" i="11"/>
  <c r="C34" i="11"/>
  <c r="C33" i="11"/>
  <c r="C32" i="11"/>
  <c r="G4" i="11"/>
  <c r="G7" i="11"/>
  <c r="G6" i="11"/>
  <c r="B8" i="11"/>
  <c r="B7" i="11"/>
  <c r="B6" i="11"/>
  <c r="B5" i="11"/>
  <c r="B4" i="11"/>
  <c r="O21" i="11"/>
  <c r="O20" i="11"/>
  <c r="O19" i="11"/>
  <c r="O18" i="11"/>
  <c r="O17" i="11"/>
  <c r="C21" i="11"/>
  <c r="Y21" i="11" s="1"/>
  <c r="C20" i="11"/>
  <c r="Y20" i="11" s="1"/>
  <c r="C19" i="11"/>
  <c r="Y19" i="11" s="1"/>
  <c r="C18" i="11"/>
  <c r="Y18" i="11" s="1"/>
  <c r="C17" i="11"/>
  <c r="Y17" i="11" s="1"/>
  <c r="V8" i="11"/>
  <c r="V7" i="11"/>
  <c r="V6" i="11"/>
  <c r="V5" i="11"/>
  <c r="V4" i="11"/>
  <c r="M8" i="11"/>
  <c r="M7" i="11"/>
  <c r="M6" i="11"/>
  <c r="M5" i="11"/>
  <c r="M4" i="11"/>
  <c r="G8" i="11"/>
  <c r="G5" i="11"/>
  <c r="I8" i="12" a="1"/>
  <c r="I8" i="12" s="1"/>
  <c r="D3" i="12"/>
  <c r="F3" i="12" s="1"/>
  <c r="D4" i="12"/>
  <c r="F4" i="12" s="1"/>
  <c r="D5" i="12"/>
  <c r="F5" i="12" s="1"/>
  <c r="D6" i="12"/>
  <c r="D7" i="12"/>
  <c r="F7" i="12" s="1"/>
  <c r="D8" i="12"/>
  <c r="F8" i="12" s="1"/>
  <c r="D9" i="12"/>
  <c r="F9" i="12" s="1"/>
  <c r="D10" i="12"/>
  <c r="D11" i="12"/>
  <c r="F11" i="12" s="1"/>
  <c r="D12" i="12"/>
  <c r="D13" i="12"/>
  <c r="D14" i="12"/>
  <c r="D15" i="12"/>
  <c r="D16" i="12"/>
  <c r="D17" i="12"/>
  <c r="D18" i="12"/>
  <c r="D19" i="12"/>
  <c r="F19" i="12" s="1"/>
  <c r="D20" i="12"/>
  <c r="D21" i="12"/>
  <c r="D22" i="12"/>
  <c r="F22" i="12" s="1"/>
  <c r="D23" i="12"/>
  <c r="F23" i="12" s="1"/>
  <c r="D24" i="12"/>
  <c r="F24" i="12" s="1"/>
  <c r="D25" i="12"/>
  <c r="F25" i="12" s="1"/>
  <c r="D26" i="12"/>
  <c r="D27" i="12"/>
  <c r="F27" i="12" s="1"/>
  <c r="D28" i="12"/>
  <c r="D29" i="12"/>
  <c r="D30" i="12"/>
  <c r="D31" i="12"/>
  <c r="D32" i="12"/>
  <c r="D33" i="12"/>
  <c r="D34" i="12"/>
  <c r="D35" i="12"/>
  <c r="F35" i="12" s="1"/>
  <c r="D36" i="12"/>
  <c r="F36" i="12" s="1"/>
  <c r="D37" i="12"/>
  <c r="F37" i="12" s="1"/>
  <c r="D38" i="12"/>
  <c r="D39" i="12"/>
  <c r="D40" i="12"/>
  <c r="F40" i="12" s="1"/>
  <c r="D41" i="12"/>
  <c r="D42" i="12"/>
  <c r="D43" i="12"/>
  <c r="D44" i="12"/>
  <c r="F44" i="12" s="1"/>
  <c r="D45" i="12"/>
  <c r="D46" i="12"/>
  <c r="D47" i="12"/>
  <c r="F47" i="12" s="1"/>
  <c r="D48" i="12"/>
  <c r="D49" i="12"/>
  <c r="F49" i="12" s="1"/>
  <c r="D50" i="12"/>
  <c r="F50" i="12" s="1"/>
  <c r="D51" i="12"/>
  <c r="F51" i="12" s="1"/>
  <c r="D52" i="12"/>
  <c r="D53" i="12"/>
  <c r="F53" i="12" s="1"/>
  <c r="D54" i="12"/>
  <c r="F54" i="12" s="1"/>
  <c r="D55" i="12"/>
  <c r="F55" i="12" s="1"/>
  <c r="D56" i="12"/>
  <c r="F56" i="12" s="1"/>
  <c r="D57" i="12"/>
  <c r="F57" i="12" s="1"/>
  <c r="D58" i="12"/>
  <c r="F58" i="12" s="1"/>
  <c r="D59" i="12"/>
  <c r="F59" i="12" s="1"/>
  <c r="D60" i="12"/>
  <c r="D61" i="12"/>
  <c r="D62" i="12"/>
  <c r="D63" i="12"/>
  <c r="D64" i="12"/>
  <c r="D65" i="12"/>
  <c r="D66" i="12"/>
  <c r="D67" i="12"/>
  <c r="F67" i="12" s="1"/>
  <c r="D68" i="12"/>
  <c r="F68" i="12" s="1"/>
  <c r="D69" i="12"/>
  <c r="F69" i="12" s="1"/>
  <c r="D70" i="12"/>
  <c r="D71" i="12"/>
  <c r="D72" i="12"/>
  <c r="F72" i="12" s="1"/>
  <c r="D73" i="12"/>
  <c r="D74" i="12"/>
  <c r="D75" i="12"/>
  <c r="F75" i="12" s="1"/>
  <c r="D76" i="12"/>
  <c r="F76" i="12" s="1"/>
  <c r="D77" i="12"/>
  <c r="F77" i="12" s="1"/>
  <c r="D78" i="12"/>
  <c r="D79" i="12"/>
  <c r="D80" i="12"/>
  <c r="F80" i="12" s="1"/>
  <c r="D81" i="12"/>
  <c r="D82" i="12"/>
  <c r="D83" i="12"/>
  <c r="F83" i="12" s="1"/>
  <c r="D84" i="12"/>
  <c r="F84" i="12" s="1"/>
  <c r="D85" i="12"/>
  <c r="F85" i="12" s="1"/>
  <c r="D86" i="12"/>
  <c r="F86" i="12" s="1"/>
  <c r="D87" i="12"/>
  <c r="F87" i="12" s="1"/>
  <c r="D88" i="12"/>
  <c r="F88" i="12" s="1"/>
  <c r="D89" i="12"/>
  <c r="D90" i="12"/>
  <c r="D91" i="12"/>
  <c r="F91" i="12" s="1"/>
  <c r="D92" i="12"/>
  <c r="D93" i="12"/>
  <c r="D94" i="12"/>
  <c r="D95" i="12"/>
  <c r="D96" i="12"/>
  <c r="F96" i="12" s="1"/>
  <c r="D97" i="12"/>
  <c r="F97" i="12" s="1"/>
  <c r="D98" i="12"/>
  <c r="D99" i="12"/>
  <c r="F99" i="12" s="1"/>
  <c r="D100" i="12"/>
  <c r="F100" i="12" s="1"/>
  <c r="D101" i="12"/>
  <c r="F101" i="12" s="1"/>
  <c r="D102" i="12"/>
  <c r="F102" i="12" s="1"/>
  <c r="D103" i="12"/>
  <c r="D104" i="12"/>
  <c r="F104" i="12" s="1"/>
  <c r="D105" i="12"/>
  <c r="D106" i="12"/>
  <c r="D107" i="12"/>
  <c r="D108" i="12"/>
  <c r="D109" i="12"/>
  <c r="D110" i="12"/>
  <c r="D111" i="12"/>
  <c r="D112" i="12"/>
  <c r="D113" i="12"/>
  <c r="F113" i="12" s="1"/>
  <c r="D114" i="12"/>
  <c r="D115" i="12"/>
  <c r="F115" i="12" s="1"/>
  <c r="D116" i="12"/>
  <c r="F116" i="12" s="1"/>
  <c r="D117" i="12"/>
  <c r="F117" i="12" s="1"/>
  <c r="D118" i="12"/>
  <c r="F118" i="12" s="1"/>
  <c r="D119" i="12"/>
  <c r="F119" i="12" s="1"/>
  <c r="D120" i="12"/>
  <c r="F120" i="12" s="1"/>
  <c r="D121" i="12"/>
  <c r="F121" i="12" s="1"/>
  <c r="D122" i="12"/>
  <c r="F122" i="12" s="1"/>
  <c r="D123" i="12"/>
  <c r="D124" i="12"/>
  <c r="F124" i="12" s="1"/>
  <c r="D125" i="12"/>
  <c r="F125" i="12" s="1"/>
  <c r="D126" i="12"/>
  <c r="F126" i="12" s="1"/>
  <c r="D127" i="12"/>
  <c r="F127" i="12" s="1"/>
  <c r="D128" i="12"/>
  <c r="D129" i="12"/>
  <c r="D130" i="12"/>
  <c r="D131" i="12"/>
  <c r="F131" i="12" s="1"/>
  <c r="D132" i="12"/>
  <c r="D133" i="12"/>
  <c r="F133" i="12" s="1"/>
  <c r="D134" i="12"/>
  <c r="F134" i="12" s="1"/>
  <c r="D135" i="12"/>
  <c r="D136" i="12"/>
  <c r="F136" i="12" s="1"/>
  <c r="D137" i="12"/>
  <c r="D138" i="12"/>
  <c r="D139" i="12"/>
  <c r="D140" i="12"/>
  <c r="D141" i="12"/>
  <c r="D142" i="12"/>
  <c r="D143" i="12"/>
  <c r="D144" i="12"/>
  <c r="F144" i="12" s="1"/>
  <c r="D145" i="12"/>
  <c r="F145" i="12" s="1"/>
  <c r="D146" i="12"/>
  <c r="F146" i="12" s="1"/>
  <c r="D147" i="12"/>
  <c r="F147" i="12" s="1"/>
  <c r="D148" i="12"/>
  <c r="F148" i="12" s="1"/>
  <c r="D149" i="12"/>
  <c r="F149" i="12" s="1"/>
  <c r="D150" i="12"/>
  <c r="F150" i="12" s="1"/>
  <c r="D151" i="12"/>
  <c r="F151" i="12" s="1"/>
  <c r="D152" i="12"/>
  <c r="F152" i="12" s="1"/>
  <c r="D153" i="12"/>
  <c r="F153" i="12" s="1"/>
  <c r="D154" i="12"/>
  <c r="D155" i="12"/>
  <c r="D156" i="12"/>
  <c r="D157" i="12"/>
  <c r="F157" i="12" s="1"/>
  <c r="D158" i="12"/>
  <c r="F158" i="12" s="1"/>
  <c r="D159" i="12"/>
  <c r="D160" i="12"/>
  <c r="D161" i="12"/>
  <c r="F161" i="12" s="1"/>
  <c r="D162" i="12"/>
  <c r="D163" i="12"/>
  <c r="F163" i="12" s="1"/>
  <c r="D164" i="12"/>
  <c r="D165" i="12"/>
  <c r="F165" i="12" s="1"/>
  <c r="D166" i="12"/>
  <c r="F166" i="12" s="1"/>
  <c r="D167" i="12"/>
  <c r="D168" i="12"/>
  <c r="F168" i="12" s="1"/>
  <c r="D169" i="12"/>
  <c r="D170" i="12"/>
  <c r="D171" i="12"/>
  <c r="F171" i="12" s="1"/>
  <c r="D172" i="12"/>
  <c r="D173" i="12"/>
  <c r="D174" i="12"/>
  <c r="D175" i="12"/>
  <c r="D176" i="12"/>
  <c r="D177" i="12"/>
  <c r="D178" i="12"/>
  <c r="D179" i="12"/>
  <c r="F179" i="12" s="1"/>
  <c r="D180" i="12"/>
  <c r="F180" i="12" s="1"/>
  <c r="D181" i="12"/>
  <c r="F181" i="12" s="1"/>
  <c r="D182" i="12"/>
  <c r="F182" i="12" s="1"/>
  <c r="D183" i="12"/>
  <c r="F183" i="12" s="1"/>
  <c r="D184" i="12"/>
  <c r="F184" i="12" s="1"/>
  <c r="D185" i="12"/>
  <c r="D186" i="12"/>
  <c r="D187" i="12"/>
  <c r="F187" i="12" s="1"/>
  <c r="D188" i="12"/>
  <c r="D189" i="12"/>
  <c r="F189" i="12" s="1"/>
  <c r="D190" i="12"/>
  <c r="D191" i="12"/>
  <c r="D192" i="12"/>
  <c r="F192" i="12" s="1"/>
  <c r="D193" i="12"/>
  <c r="F193" i="12" s="1"/>
  <c r="D194" i="12"/>
  <c r="D195" i="12"/>
  <c r="F195" i="12" s="1"/>
  <c r="D196" i="12"/>
  <c r="F196" i="12" s="1"/>
  <c r="D197" i="12"/>
  <c r="F197" i="12" s="1"/>
  <c r="D198" i="12"/>
  <c r="D199" i="12"/>
  <c r="D200" i="12"/>
  <c r="F200" i="12" s="1"/>
  <c r="D201" i="12"/>
  <c r="D202" i="12"/>
  <c r="D203" i="12"/>
  <c r="D204" i="12"/>
  <c r="D205" i="12"/>
  <c r="D206" i="12"/>
  <c r="D207" i="12"/>
  <c r="D208" i="12"/>
  <c r="D209" i="12"/>
  <c r="D210" i="12"/>
  <c r="D211" i="12"/>
  <c r="F211" i="12" s="1"/>
  <c r="D212" i="12"/>
  <c r="F212" i="12" s="1"/>
  <c r="D213" i="12"/>
  <c r="F213" i="12" s="1"/>
  <c r="D214" i="12"/>
  <c r="F214" i="12" s="1"/>
  <c r="D215" i="12"/>
  <c r="F215" i="12" s="1"/>
  <c r="D216" i="12"/>
  <c r="F216" i="12" s="1"/>
  <c r="D217" i="12"/>
  <c r="F217" i="12" s="1"/>
  <c r="D218" i="12"/>
  <c r="F218" i="12" s="1"/>
  <c r="D219" i="12"/>
  <c r="F219" i="12" s="1"/>
  <c r="D220" i="12"/>
  <c r="F220" i="12" s="1"/>
  <c r="D221" i="12"/>
  <c r="D222" i="12"/>
  <c r="D223" i="12"/>
  <c r="D224" i="12"/>
  <c r="D225" i="12"/>
  <c r="D226" i="12"/>
  <c r="F226" i="12" s="1"/>
  <c r="D227" i="12"/>
  <c r="F227" i="12" s="1"/>
  <c r="D228" i="12"/>
  <c r="D229" i="12"/>
  <c r="F229" i="12" s="1"/>
  <c r="D230" i="12"/>
  <c r="F230" i="12" s="1"/>
  <c r="D231" i="12"/>
  <c r="F231" i="12" s="1"/>
  <c r="D232" i="12"/>
  <c r="F232" i="12" s="1"/>
  <c r="D233" i="12"/>
  <c r="D234" i="12"/>
  <c r="D235" i="12"/>
  <c r="D236" i="12"/>
  <c r="D237" i="12"/>
  <c r="D238" i="12"/>
  <c r="F238" i="12" s="1"/>
  <c r="D239" i="12"/>
  <c r="F239" i="12" s="1"/>
  <c r="D240" i="12"/>
  <c r="D241" i="12"/>
  <c r="D242" i="12"/>
  <c r="D243" i="12"/>
  <c r="F243" i="12" s="1"/>
  <c r="D244" i="12"/>
  <c r="F244" i="12" s="1"/>
  <c r="D245" i="12"/>
  <c r="F245" i="12" s="1"/>
  <c r="D246" i="12"/>
  <c r="F246" i="12" s="1"/>
  <c r="D247" i="12"/>
  <c r="F247" i="12" s="1"/>
  <c r="D248" i="12"/>
  <c r="F248" i="12" s="1"/>
  <c r="D249" i="12"/>
  <c r="F249" i="12" s="1"/>
  <c r="D250" i="12"/>
  <c r="F250" i="12" s="1"/>
  <c r="D251" i="12"/>
  <c r="D252" i="12"/>
  <c r="D253" i="12"/>
  <c r="D254" i="12"/>
  <c r="D255" i="12"/>
  <c r="D256" i="12"/>
  <c r="D257" i="12"/>
  <c r="F257" i="12" s="1"/>
  <c r="D258" i="12"/>
  <c r="D259" i="12"/>
  <c r="F259" i="12" s="1"/>
  <c r="D260" i="12"/>
  <c r="F260" i="12" s="1"/>
  <c r="D261" i="12"/>
  <c r="F261" i="12" s="1"/>
  <c r="D262" i="12"/>
  <c r="F262" i="12" s="1"/>
  <c r="D263" i="12"/>
  <c r="D264" i="12"/>
  <c r="F264" i="12" s="1"/>
  <c r="D265" i="12"/>
  <c r="D266" i="12"/>
  <c r="D267" i="12"/>
  <c r="D268" i="12"/>
  <c r="D269" i="12"/>
  <c r="D270" i="12"/>
  <c r="D271" i="12"/>
  <c r="D272" i="12"/>
  <c r="D273" i="12"/>
  <c r="D274" i="12"/>
  <c r="F274" i="12" s="1"/>
  <c r="D275" i="12"/>
  <c r="F275" i="12" s="1"/>
  <c r="D276" i="12"/>
  <c r="F276" i="12" s="1"/>
  <c r="D277" i="12"/>
  <c r="F277" i="12" s="1"/>
  <c r="D278" i="12"/>
  <c r="F278" i="12" s="1"/>
  <c r="D279" i="12"/>
  <c r="F279" i="12" s="1"/>
  <c r="D280" i="12"/>
  <c r="F280" i="12" s="1"/>
  <c r="D281" i="12"/>
  <c r="F281" i="12" s="1"/>
  <c r="D282" i="12"/>
  <c r="D283" i="12"/>
  <c r="F283" i="12" s="1"/>
  <c r="D284" i="12"/>
  <c r="D285" i="12"/>
  <c r="D286" i="12"/>
  <c r="D287" i="12"/>
  <c r="D288" i="12"/>
  <c r="D289" i="12"/>
  <c r="D290" i="12"/>
  <c r="D291" i="12"/>
  <c r="F291" i="12" s="1"/>
  <c r="D292" i="12"/>
  <c r="D293" i="12"/>
  <c r="F293" i="12" s="1"/>
  <c r="D294" i="12"/>
  <c r="D295" i="12"/>
  <c r="F295" i="12" s="1"/>
  <c r="D296" i="12"/>
  <c r="F296" i="12" s="1"/>
  <c r="D297" i="12"/>
  <c r="D298" i="12"/>
  <c r="D299" i="12"/>
  <c r="D300" i="12"/>
  <c r="D301" i="12"/>
  <c r="F301" i="12" s="1"/>
  <c r="D302" i="12"/>
  <c r="F302" i="12" s="1"/>
  <c r="D303" i="12"/>
  <c r="D304" i="12"/>
  <c r="D305" i="12"/>
  <c r="D306" i="12"/>
  <c r="D307" i="12"/>
  <c r="F307" i="12" s="1"/>
  <c r="D308" i="12"/>
  <c r="D309" i="12"/>
  <c r="F309" i="12" s="1"/>
  <c r="D310" i="12"/>
  <c r="D311" i="12"/>
  <c r="F311" i="12" s="1"/>
  <c r="D312" i="12"/>
  <c r="D313" i="12"/>
  <c r="F313" i="12" s="1"/>
  <c r="D314" i="12"/>
  <c r="F314" i="12" s="1"/>
  <c r="D315" i="12"/>
  <c r="D316" i="12"/>
  <c r="F316" i="12" s="1"/>
  <c r="D317" i="12"/>
  <c r="D318" i="12"/>
  <c r="D319" i="12"/>
  <c r="D320" i="12"/>
  <c r="F320" i="12" s="1"/>
  <c r="D321" i="12"/>
  <c r="F321" i="12" s="1"/>
  <c r="D322" i="12"/>
  <c r="D323" i="12"/>
  <c r="F323" i="12" s="1"/>
  <c r="D324" i="12"/>
  <c r="F324" i="12" s="1"/>
  <c r="D325" i="12"/>
  <c r="F325" i="12" s="1"/>
  <c r="F6" i="12"/>
  <c r="F21"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2" i="12"/>
  <c r="F20" i="12"/>
  <c r="F52" i="12"/>
  <c r="F132" i="12"/>
  <c r="F164" i="12"/>
  <c r="F228" i="12"/>
  <c r="F292" i="12"/>
  <c r="F308" i="12"/>
  <c r="F2" i="23" l="1"/>
  <c r="E2" i="23"/>
  <c r="F55" i="23"/>
  <c r="E55" i="23"/>
  <c r="F54" i="23"/>
  <c r="E54" i="23"/>
  <c r="F53" i="23"/>
  <c r="E53" i="23"/>
  <c r="F52" i="23"/>
  <c r="E52" i="23"/>
  <c r="F51" i="23"/>
  <c r="E51" i="23"/>
  <c r="F50" i="23"/>
  <c r="E50" i="23"/>
  <c r="F49" i="23"/>
  <c r="E49" i="23"/>
  <c r="F48" i="23"/>
  <c r="E48" i="23"/>
  <c r="F47" i="23"/>
  <c r="E47" i="23"/>
  <c r="F46" i="23"/>
  <c r="E46" i="23"/>
  <c r="F45" i="23"/>
  <c r="E45" i="23"/>
  <c r="F44" i="23"/>
  <c r="E44" i="23"/>
  <c r="F43" i="23"/>
  <c r="E43" i="23"/>
  <c r="F42" i="23"/>
  <c r="E42" i="23"/>
  <c r="F41" i="23"/>
  <c r="E41" i="23"/>
  <c r="F40" i="23"/>
  <c r="E40" i="23"/>
  <c r="F39" i="23"/>
  <c r="E39" i="23"/>
  <c r="F38" i="23"/>
  <c r="E38" i="23"/>
  <c r="F37" i="23"/>
  <c r="E37" i="23"/>
  <c r="F36" i="23"/>
  <c r="E36" i="23"/>
  <c r="F35" i="23"/>
  <c r="E35" i="23"/>
  <c r="F34" i="23"/>
  <c r="E34" i="23"/>
  <c r="F33" i="23"/>
  <c r="E33" i="23"/>
  <c r="F32" i="23"/>
  <c r="E32" i="23"/>
  <c r="F31" i="23"/>
  <c r="E31" i="23"/>
  <c r="F30" i="23"/>
  <c r="E30" i="23"/>
  <c r="F29" i="23"/>
  <c r="E29" i="23"/>
  <c r="F28" i="23"/>
  <c r="E28" i="23"/>
  <c r="F27" i="23"/>
  <c r="E27" i="23"/>
  <c r="F26" i="23"/>
  <c r="E26" i="23"/>
  <c r="F25" i="23"/>
  <c r="E25" i="23"/>
  <c r="F24" i="23"/>
  <c r="E24" i="23"/>
  <c r="F23" i="23"/>
  <c r="E23" i="23"/>
  <c r="F22" i="23"/>
  <c r="E22" i="23"/>
  <c r="F21" i="23"/>
  <c r="E21" i="23"/>
  <c r="F20" i="23"/>
  <c r="E20" i="23"/>
  <c r="F19" i="23"/>
  <c r="E19" i="23"/>
  <c r="F18" i="23"/>
  <c r="E18" i="23"/>
  <c r="F17" i="23"/>
  <c r="E17" i="23"/>
  <c r="F16" i="23"/>
  <c r="E16" i="23"/>
  <c r="F15" i="23"/>
  <c r="E15" i="23"/>
  <c r="F14" i="23"/>
  <c r="E14" i="23"/>
  <c r="F13" i="23"/>
  <c r="E13" i="23"/>
  <c r="F12" i="23"/>
  <c r="E12" i="23"/>
  <c r="F11" i="23"/>
  <c r="E11" i="23"/>
  <c r="F10" i="23"/>
  <c r="E10" i="23"/>
  <c r="F9" i="23"/>
  <c r="E9" i="23"/>
  <c r="F8" i="23"/>
  <c r="E8" i="23"/>
  <c r="F7" i="23"/>
  <c r="E7" i="23"/>
  <c r="F6" i="23"/>
  <c r="E6" i="23"/>
  <c r="F5" i="23"/>
  <c r="E5" i="23"/>
  <c r="F4" i="23"/>
  <c r="E4" i="23"/>
  <c r="F3" i="23"/>
  <c r="E3" i="23"/>
  <c r="V28" i="11"/>
  <c r="V29" i="11"/>
  <c r="V30" i="11"/>
  <c r="V31" i="11"/>
  <c r="V32" i="11"/>
  <c r="U14" i="20"/>
  <c r="T14" i="20"/>
  <c r="U12" i="20"/>
  <c r="T12" i="20"/>
  <c r="F130" i="12"/>
  <c r="F256" i="12"/>
  <c r="F322" i="12"/>
  <c r="F82" i="12"/>
  <c r="F34" i="12"/>
  <c r="F305" i="12"/>
  <c r="F241" i="12"/>
  <c r="F240" i="12"/>
  <c r="F114" i="12"/>
  <c r="F210" i="12"/>
  <c r="F66" i="12"/>
  <c r="F306" i="12"/>
  <c r="F194" i="12"/>
  <c r="F162" i="12"/>
  <c r="F18" i="12"/>
  <c r="F258" i="12"/>
  <c r="F273" i="12"/>
  <c r="F225" i="12"/>
  <c r="F81" i="12"/>
  <c r="F224" i="12"/>
  <c r="F64" i="12"/>
  <c r="F98" i="12"/>
  <c r="F304" i="12"/>
  <c r="F242" i="12"/>
  <c r="F178" i="12"/>
  <c r="F160" i="12"/>
  <c r="F128" i="12"/>
  <c r="F290" i="12"/>
  <c r="F312" i="12"/>
  <c r="F90" i="12"/>
  <c r="F303" i="12"/>
  <c r="F89" i="12"/>
  <c r="F188" i="12"/>
  <c r="F123" i="12"/>
  <c r="F251" i="12"/>
  <c r="F271" i="12"/>
  <c r="F255" i="12"/>
  <c r="F207" i="12"/>
  <c r="F191" i="12"/>
  <c r="F159" i="12"/>
  <c r="F143" i="12"/>
  <c r="F111" i="12"/>
  <c r="F79" i="12"/>
  <c r="F31" i="12"/>
  <c r="F318" i="12"/>
  <c r="F206" i="12"/>
  <c r="F190" i="12"/>
  <c r="F94" i="12"/>
  <c r="F317" i="12"/>
  <c r="F269" i="12"/>
  <c r="F173" i="12"/>
  <c r="F109" i="12"/>
  <c r="F300" i="12"/>
  <c r="F284" i="12"/>
  <c r="F252" i="12"/>
  <c r="F140" i="12"/>
  <c r="F29" i="12"/>
  <c r="F28" i="12"/>
  <c r="F60" i="12"/>
  <c r="F63" i="12"/>
  <c r="F62" i="12"/>
  <c r="F253" i="12"/>
  <c r="F285" i="12"/>
  <c r="F142" i="12"/>
  <c r="F319" i="12"/>
  <c r="F287" i="12"/>
  <c r="F223" i="12"/>
  <c r="F95" i="12"/>
  <c r="F15" i="12"/>
  <c r="F286" i="12"/>
  <c r="F254" i="12"/>
  <c r="F222" i="12"/>
  <c r="F174" i="12"/>
  <c r="F110" i="12"/>
  <c r="F78" i="12"/>
  <c r="F14" i="12"/>
  <c r="F237" i="12"/>
  <c r="F205" i="12"/>
  <c r="F141" i="12"/>
  <c r="F30" i="12"/>
  <c r="F268" i="12"/>
  <c r="F236" i="12"/>
  <c r="F204" i="12"/>
  <c r="F156" i="12"/>
  <c r="F108" i="12"/>
  <c r="F12" i="12"/>
  <c r="F61" i="12"/>
  <c r="F221" i="12"/>
  <c r="F175" i="12"/>
  <c r="F93" i="12"/>
  <c r="F172" i="12"/>
  <c r="F92" i="12"/>
  <c r="F270" i="12"/>
  <c r="F46" i="12"/>
  <c r="F45" i="12"/>
  <c r="F13" i="12"/>
  <c r="F289" i="12"/>
  <c r="F209" i="12"/>
  <c r="F177" i="12"/>
  <c r="F129" i="12"/>
  <c r="F65" i="12"/>
  <c r="F33" i="12"/>
  <c r="F315" i="12"/>
  <c r="F272" i="12"/>
  <c r="F208" i="12"/>
  <c r="F176" i="12"/>
  <c r="F112" i="12"/>
  <c r="F32" i="12"/>
  <c r="F299" i="12"/>
  <c r="F43" i="12"/>
  <c r="F42" i="12"/>
  <c r="F298" i="12"/>
  <c r="F288" i="12"/>
  <c r="F48" i="12"/>
  <c r="F235" i="12"/>
  <c r="F155" i="12"/>
  <c r="F139" i="12"/>
  <c r="F107" i="12"/>
  <c r="F74" i="12"/>
  <c r="F10" i="12"/>
  <c r="F265" i="12"/>
  <c r="F137" i="12"/>
  <c r="F310" i="12"/>
  <c r="F106" i="12"/>
  <c r="F167" i="12"/>
  <c r="F105" i="12"/>
  <c r="F16" i="12"/>
  <c r="F203" i="12"/>
  <c r="F38" i="12"/>
  <c r="F282" i="12"/>
  <c r="F234" i="12"/>
  <c r="F202" i="12"/>
  <c r="F186" i="12"/>
  <c r="F154" i="12"/>
  <c r="F26" i="12"/>
  <c r="F185" i="12"/>
  <c r="F73" i="12"/>
  <c r="F41" i="12"/>
  <c r="F297" i="12"/>
  <c r="F266" i="12"/>
  <c r="F201" i="12"/>
  <c r="F170" i="12"/>
  <c r="F138" i="12"/>
  <c r="F263" i="12"/>
  <c r="F103" i="12"/>
  <c r="F71" i="12"/>
  <c r="F233" i="12"/>
  <c r="F169" i="12"/>
  <c r="F294" i="12"/>
  <c r="F70" i="12"/>
  <c r="F199" i="12"/>
  <c r="F17" i="12"/>
  <c r="F198" i="12"/>
  <c r="F135" i="12"/>
  <c r="F39" i="12"/>
  <c r="F267" i="12"/>
  <c r="B63" i="23" l="1"/>
  <c r="B74" i="23" s="1"/>
  <c r="B60" i="23"/>
  <c r="B61" i="23" s="1"/>
  <c r="B64" i="23"/>
  <c r="B75" i="23" s="1"/>
  <c r="G12" i="20"/>
  <c r="H12" i="20"/>
  <c r="G13" i="20"/>
  <c r="H13" i="20"/>
  <c r="H3" i="23" l="1"/>
  <c r="H4" i="23"/>
  <c r="H5" i="23"/>
  <c r="H6" i="23"/>
  <c r="H7" i="23"/>
  <c r="H8" i="23"/>
  <c r="H9" i="23"/>
  <c r="H10" i="23"/>
  <c r="H11" i="23"/>
  <c r="H12" i="23"/>
  <c r="H13" i="23"/>
  <c r="H14" i="23"/>
  <c r="H15" i="23"/>
  <c r="H16" i="23"/>
  <c r="H17" i="23"/>
  <c r="H18" i="23"/>
  <c r="H19" i="23"/>
  <c r="H20" i="23"/>
  <c r="H21" i="23"/>
  <c r="H22" i="23"/>
  <c r="H23" i="23"/>
  <c r="H24" i="23"/>
  <c r="H25" i="23"/>
  <c r="H26" i="23"/>
  <c r="H27" i="23"/>
  <c r="H28" i="23"/>
  <c r="H29" i="23"/>
  <c r="H30" i="23"/>
  <c r="H31" i="23"/>
  <c r="H32" i="23"/>
  <c r="H33" i="23"/>
  <c r="H34" i="23"/>
  <c r="H35" i="23"/>
  <c r="H36" i="23"/>
  <c r="H37" i="23"/>
  <c r="H38" i="23"/>
  <c r="H39" i="23"/>
  <c r="H40" i="23"/>
  <c r="H41" i="23"/>
  <c r="H42" i="23"/>
  <c r="H43" i="23"/>
  <c r="H44" i="23"/>
  <c r="H45" i="23"/>
  <c r="H46" i="23"/>
  <c r="H47" i="23"/>
  <c r="H48" i="23"/>
  <c r="H49" i="23"/>
  <c r="H50" i="23"/>
  <c r="H51" i="23"/>
  <c r="H52" i="23"/>
  <c r="H53" i="23"/>
  <c r="H54" i="23"/>
  <c r="H55" i="23"/>
  <c r="H2" i="23"/>
  <c r="B77" i="23"/>
  <c r="G14" i="20"/>
  <c r="H14" i="20"/>
  <c r="J2" i="23" l="1"/>
  <c r="I2" i="23"/>
  <c r="J55" i="23"/>
  <c r="I55" i="23"/>
  <c r="J54" i="23"/>
  <c r="I54" i="23"/>
  <c r="J53" i="23"/>
  <c r="I53" i="23"/>
  <c r="J52" i="23"/>
  <c r="I52" i="23"/>
  <c r="J51" i="23"/>
  <c r="I51" i="23"/>
  <c r="J50" i="23"/>
  <c r="I50" i="23"/>
  <c r="J49" i="23"/>
  <c r="I49" i="23"/>
  <c r="J48" i="23"/>
  <c r="I48" i="23"/>
  <c r="J47" i="23"/>
  <c r="I47" i="23"/>
  <c r="J46" i="23"/>
  <c r="I46" i="23"/>
  <c r="J45" i="23"/>
  <c r="I45" i="23"/>
  <c r="J44" i="23"/>
  <c r="I44" i="23"/>
  <c r="J43" i="23"/>
  <c r="I43" i="23"/>
  <c r="J42" i="23"/>
  <c r="I42" i="23"/>
  <c r="J41" i="23"/>
  <c r="I41" i="23"/>
  <c r="J40" i="23"/>
  <c r="I40" i="23"/>
  <c r="J39" i="23"/>
  <c r="I39" i="23"/>
  <c r="J38" i="23"/>
  <c r="I38" i="23"/>
  <c r="J37" i="23"/>
  <c r="I37" i="23"/>
  <c r="J36" i="23"/>
  <c r="I36" i="23"/>
  <c r="J35" i="23"/>
  <c r="I35" i="23"/>
  <c r="J34" i="23"/>
  <c r="I34" i="23"/>
  <c r="J33" i="23"/>
  <c r="I33" i="23"/>
  <c r="J32" i="23"/>
  <c r="I32" i="23"/>
  <c r="J31" i="23"/>
  <c r="I31" i="23"/>
  <c r="J30" i="23"/>
  <c r="I30" i="23"/>
  <c r="J29" i="23"/>
  <c r="I29" i="23"/>
  <c r="J28" i="23"/>
  <c r="I28" i="23"/>
  <c r="J27" i="23"/>
  <c r="I27" i="23"/>
  <c r="J26" i="23"/>
  <c r="I26" i="23"/>
  <c r="J25" i="23"/>
  <c r="I25" i="23"/>
  <c r="J24" i="23"/>
  <c r="I24" i="23"/>
  <c r="J23" i="23"/>
  <c r="I23" i="23"/>
  <c r="J22" i="23"/>
  <c r="I22" i="23"/>
  <c r="J21" i="23"/>
  <c r="I21" i="23"/>
  <c r="J20" i="23"/>
  <c r="I20" i="23"/>
  <c r="J19" i="23"/>
  <c r="I19" i="23"/>
  <c r="J18" i="23"/>
  <c r="I18" i="23"/>
  <c r="J17" i="23"/>
  <c r="I17" i="23"/>
  <c r="J16" i="23"/>
  <c r="I16" i="23"/>
  <c r="J15" i="23"/>
  <c r="I15" i="23"/>
  <c r="J14" i="23"/>
  <c r="I14" i="23"/>
  <c r="J13" i="23"/>
  <c r="I13" i="23"/>
  <c r="J12" i="23"/>
  <c r="I12" i="23"/>
  <c r="J11" i="23"/>
  <c r="I11" i="23"/>
  <c r="J10" i="23"/>
  <c r="I10" i="23"/>
  <c r="J9" i="23"/>
  <c r="I9" i="23"/>
  <c r="J8" i="23"/>
  <c r="I8" i="23"/>
  <c r="J7" i="23"/>
  <c r="I7" i="23"/>
  <c r="J6" i="23"/>
  <c r="I6" i="23"/>
  <c r="J5" i="23"/>
  <c r="I5" i="23"/>
  <c r="J4" i="23"/>
  <c r="I4" i="23"/>
  <c r="J3" i="23"/>
  <c r="I3" i="23"/>
  <c r="B66" i="23" l="1"/>
  <c r="B67" i="23"/>
  <c r="B68" i="23" s="1"/>
  <c r="B70" i="23" s="1"/>
  <c r="B81" i="23" l="1"/>
  <c r="B83" i="23" s="1"/>
  <c r="B84" i="23" s="1"/>
  <c r="B71" i="2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<sst xmlns="http://schemas.openxmlformats.org/spreadsheetml/2006/main" count="3946" uniqueCount="236">
  <si>
    <t>Table</t>
  </si>
  <si>
    <t>Code</t>
  </si>
  <si>
    <t>TAQ01</t>
  </si>
  <si>
    <t>Name</t>
  </si>
  <si>
    <t>Passengers</t>
  </si>
  <si>
    <t>Frequency</t>
  </si>
  <si>
    <t>Quarterly</t>
  </si>
  <si>
    <t>Last Updated</t>
  </si>
  <si>
    <t>9/16/2025 11:00:00 AM</t>
  </si>
  <si>
    <t>Note</t>
  </si>
  <si>
    <t>Url</t>
  </si>
  <si>
    <t>https://ws.cso.ie/public/api.restful/PxStat.Data.Cube_API.ReadDataset/TAQ01/XLSX/2007/en</t>
  </si>
  <si>
    <t>Product</t>
  </si>
  <si>
    <t>AS</t>
  </si>
  <si>
    <t>Aviation Statistics</t>
  </si>
  <si>
    <t>Contacts</t>
  </si>
  <si>
    <t>Noreen Dorgan</t>
  </si>
  <si>
    <t>Email</t>
  </si>
  <si>
    <t>transport@cso.ie</t>
  </si>
  <si>
    <t>Phone</t>
  </si>
  <si>
    <t>(+353) 21 453 5260</t>
  </si>
  <si>
    <t>Copyright</t>
  </si>
  <si>
    <t>CSO</t>
  </si>
  <si>
    <t>Central Statistics Office, Ireland</t>
  </si>
  <si>
    <t>https://www.cso.ie/</t>
  </si>
  <si>
    <t>Properties</t>
  </si>
  <si>
    <t>Official Statistics</t>
  </si>
  <si>
    <t>Yes</t>
  </si>
  <si>
    <t>Exceptional</t>
  </si>
  <si>
    <t>No</t>
  </si>
  <si>
    <t>Archived</t>
  </si>
  <si>
    <t>Analytical</t>
  </si>
  <si>
    <t>Frontier Series</t>
  </si>
  <si>
    <t>Language</t>
  </si>
  <si>
    <t>ISO Code</t>
  </si>
  <si>
    <t>en</t>
  </si>
  <si>
    <t>ISO Name</t>
  </si>
  <si>
    <t>English</t>
  </si>
  <si>
    <t>Quarter (A)</t>
  </si>
  <si>
    <t>Airports in Ireland</t>
  </si>
  <si>
    <t>VALUE (B)</t>
  </si>
  <si>
    <t>Year</t>
  </si>
  <si>
    <t>Quarter_Num</t>
  </si>
  <si>
    <t>Period</t>
  </si>
  <si>
    <t>2012Q1</t>
  </si>
  <si>
    <t>All main airports</t>
  </si>
  <si>
    <t>Cork</t>
  </si>
  <si>
    <t>Dublin</t>
  </si>
  <si>
    <t>Kerry</t>
  </si>
  <si>
    <t>Knock</t>
  </si>
  <si>
    <t>Shannon</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</si>
  <si>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</si>
  <si>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</si>
  <si>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</si>
  <si>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</si>
  <si>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</si>
  <si>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</si>
  <si>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</si>
  <si>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</si>
  <si>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</si>
  <si>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</si>
  <si>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</si>
  <si>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</si>
  <si>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</si>
  <si>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</si>
  <si>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</si>
  <si>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</si>
  <si>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</si>
  <si>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</si>
  <si>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</si>
  <si>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</si>
  <si>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</si>
  <si>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</si>
  <si>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</si>
  <si>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</si>
  <si>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</si>
  <si>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</si>
  <si>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</si>
  <si>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</si>
  <si>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</si>
  <si>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</si>
  <si>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</si>
  <si>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</si>
  <si>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</si>
  <si>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</si>
  <si>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</si>
  <si>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</si>
  <si>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</si>
  <si>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</si>
  <si>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</si>
  <si>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</si>
  <si>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</si>
  <si>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</si>
  <si>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</si>
  <si>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</si>
  <si>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</si>
  <si>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</si>
  <si>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</si>
  <si>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</si>
  <si>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</si>
  <si>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</si>
  <si>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</si>
  <si>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</si>
  <si>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</si>
  <si>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Statistic Label</t>
  </si>
  <si>
    <t>Quarter</t>
  </si>
  <si>
    <t>VALUE</t>
  </si>
  <si>
    <t>Q1</t>
  </si>
  <si>
    <t>Pre-COVID</t>
  </si>
  <si>
    <t>Q2</t>
  </si>
  <si>
    <t>Q3</t>
  </si>
  <si>
    <t>Q4</t>
  </si>
  <si>
    <t>COVID</t>
  </si>
  <si>
    <t>Post-COVID</t>
  </si>
  <si>
    <t>Airport</t>
  </si>
  <si>
    <t>Mean_Passengers</t>
  </si>
  <si>
    <t>Airports</t>
  </si>
  <si>
    <t>Average of VALUE (B)</t>
  </si>
  <si>
    <t>Grand Total</t>
  </si>
  <si>
    <t>Mean passenger</t>
  </si>
  <si>
    <t>MEAN OF EACH AIRPORT:</t>
  </si>
  <si>
    <t>MEDIAN OF EACH AIRPORT</t>
  </si>
  <si>
    <t>STANDARD DEVIATION OF EACH AIRPORT</t>
  </si>
  <si>
    <t>COUNT (NUMBER OF QUARTERS IN AIRPORT)</t>
  </si>
  <si>
    <t>MAXIMUM NUMBER OF PASSENGERS W.R.T QUARTER IN EACH AIRPORT</t>
  </si>
  <si>
    <t>MINIMUM NUMBER OF PASSENGERS W.R.T QUARTER IN EACH AIRPORT</t>
  </si>
  <si>
    <t>RANGE OF EACH AIRPORT</t>
  </si>
  <si>
    <t>INTERQUARTILE RANGE</t>
  </si>
  <si>
    <t>25% of the data falls below this value</t>
  </si>
  <si>
    <t>75% of the data falls below this value</t>
  </si>
  <si>
    <t>TOTAL MEAN PASSENGERS BY QUARTER</t>
  </si>
  <si>
    <t>STANDARD DEVIATION OF PASSENGERS BY QUARTER</t>
  </si>
  <si>
    <t>Confidence Interval for Mean Quarterly Passengers - Dublin</t>
  </si>
  <si>
    <t xml:space="preserve">Confidence Interval for Mean Quarterly Passengers - Cork </t>
  </si>
  <si>
    <t>Sample Size</t>
  </si>
  <si>
    <t>n</t>
  </si>
  <si>
    <t>PE</t>
  </si>
  <si>
    <t>x bar</t>
  </si>
  <si>
    <t>SE</t>
  </si>
  <si>
    <t>Standard Error</t>
  </si>
  <si>
    <t>Pop Stdev</t>
  </si>
  <si>
    <t>𝜎</t>
  </si>
  <si>
    <t>ME</t>
  </si>
  <si>
    <t>Margin of Error</t>
  </si>
  <si>
    <t>Point Estimate</t>
  </si>
  <si>
    <t xml:space="preserve">LL </t>
  </si>
  <si>
    <t>Lower Limit</t>
  </si>
  <si>
    <t>UL</t>
  </si>
  <si>
    <t>Uper Limit</t>
  </si>
  <si>
    <t>Confidence Interval (CI)</t>
  </si>
  <si>
    <t>𝛼</t>
  </si>
  <si>
    <t>CL (1- 𝛼)</t>
  </si>
  <si>
    <t>z_𝛼/2</t>
  </si>
  <si>
    <t>LL</t>
  </si>
  <si>
    <t>Pre-Covid Main</t>
  </si>
  <si>
    <t>Post-Covid Main</t>
  </si>
  <si>
    <t>Population/Sample Information</t>
  </si>
  <si>
    <t>Data</t>
  </si>
  <si>
    <t>H0: μpre = μpost.
H1: μpre ≠ μpost.
This tells you it is a two‑sample, two‑tailed t‑test.</t>
  </si>
  <si>
    <t xml:space="preserve">Sample 1 size </t>
  </si>
  <si>
    <t>Sample 2 size</t>
  </si>
  <si>
    <t>Sample 1 Mean</t>
  </si>
  <si>
    <t>Sample 2 Mean</t>
  </si>
  <si>
    <t>Population 1 std devn</t>
  </si>
  <si>
    <t>Population 2 std devn</t>
  </si>
  <si>
    <t>0.006463 &lt; 0.05 → Reject H0.
There is strong statistical evidence that the average quarterly passenger volume for All main airports changed between the pre‑COVID and post‑COVID periods.</t>
  </si>
  <si>
    <t>Decided/Obtained by the researcher before test</t>
  </si>
  <si>
    <t>Significance level (𝛼)</t>
  </si>
  <si>
    <t> 0.05</t>
  </si>
  <si>
    <t>Hypothesised value for difference in population means</t>
  </si>
  <si>
    <t> </t>
  </si>
  <si>
    <t>Defining the test</t>
  </si>
  <si>
    <t>Null Hypothesis</t>
  </si>
  <si>
    <t>H0:0</t>
  </si>
  <si>
    <t>Alternative Hypothesis</t>
  </si>
  <si>
    <t xml:space="preserve">Ha: ≠ 0  </t>
  </si>
  <si>
    <t>Type of Test</t>
  </si>
  <si>
    <t> Two-Tailed</t>
  </si>
  <si>
    <t>Computation of the test</t>
  </si>
  <si>
    <t>Test Statistic</t>
  </si>
  <si>
    <t>Critical Value</t>
  </si>
  <si>
    <t>Degree of Freedom</t>
  </si>
  <si>
    <t>p-value</t>
  </si>
  <si>
    <t>Test outcome and interpretation</t>
  </si>
  <si>
    <t>Decision</t>
  </si>
  <si>
    <t>Reject H0</t>
  </si>
  <si>
    <t>Interpretation</t>
  </si>
  <si>
    <t>Data provides sufficient evidence that mean pre-COVID quarterly passengers ≠ mean post-COVID quarterly passengers for All main airports</t>
  </si>
  <si>
    <t>Sample Information</t>
  </si>
  <si>
    <t>Hypotheses (one‑tailed): H0: μDublin = μCork (no difference in means).
H1: μDublin &gt; μCork (Dublin mean is higher)</t>
  </si>
  <si>
    <t>P Value</t>
  </si>
  <si>
    <t>Sample 1 std devn</t>
  </si>
  <si>
    <t>Sample 2 std devn</t>
  </si>
  <si>
    <t>p‑value = 5.73621E‑31 &lt; 0.05 → Reject H0.There is extremely strong statistical evidence that Dublin’s average quarterly passenger volume is greater than Cork’s average quarterly passenger volume.</t>
  </si>
  <si>
    <t xml:space="preserve"> H0: μDublin - μCork=0</t>
  </si>
  <si>
    <t xml:space="preserve">HA:μDublin - μCork &gt; 0 </t>
  </si>
  <si>
    <t xml:space="preserve"> Right-tailed </t>
  </si>
  <si>
    <t>Degrees of Freedom</t>
  </si>
  <si>
    <t>p-value (2.61E-22) &lt; 0.05 → **REJECT H0**</t>
  </si>
  <si>
    <t> Data provides sufficient evidence that mean quarterly passengers at Dublin Airport &gt; mean quarterly passengers at Cork Airport</t>
  </si>
  <si>
    <t>Time(X)</t>
  </si>
  <si>
    <t>X-Xbar</t>
  </si>
  <si>
    <t>Y-Ybar</t>
  </si>
  <si>
    <t>(X-Xbar)(Y-Ybar)</t>
  </si>
  <si>
    <t>(X-Xbar)^2</t>
  </si>
  <si>
    <t>(Y-Ybar)^2</t>
  </si>
  <si>
    <t>Yhat</t>
  </si>
  <si>
    <t xml:space="preserve"> (Y-Yhat)^2</t>
  </si>
  <si>
    <t>(Yhat-Ybar)^2</t>
  </si>
  <si>
    <t>Xbar</t>
  </si>
  <si>
    <t>Ybar</t>
  </si>
  <si>
    <t>b1</t>
  </si>
  <si>
    <t xml:space="preserve">Regression Equation </t>
  </si>
  <si>
    <t xml:space="preserve"> Ŷ =5,099,895 + 40,334×Time</t>
  </si>
  <si>
    <t>b0</t>
  </si>
  <si>
    <t>Sxy</t>
  </si>
  <si>
    <t>Sxx</t>
  </si>
  <si>
    <t>Syy/SST</t>
  </si>
  <si>
    <t xml:space="preserve"> </t>
  </si>
  <si>
    <t>SSE</t>
  </si>
  <si>
    <t>SSR</t>
  </si>
  <si>
    <t>R2</t>
  </si>
  <si>
    <t>r (Correlation)</t>
  </si>
  <si>
    <t xml:space="preserve">r²  </t>
  </si>
  <si>
    <t>Denom X √Sxx</t>
  </si>
  <si>
    <t>Denom Y√Syy</t>
  </si>
  <si>
    <t>r = Num/(√Sxx×√Syy)</t>
  </si>
  <si>
    <t>Excel Corel function</t>
  </si>
  <si>
    <t>t-stat for r</t>
  </si>
  <si>
    <t>df</t>
  </si>
  <si>
    <t>Significant</t>
  </si>
  <si>
    <t>HYPOTHESIS TESTING 1: Pre–COVID VS Post-COVID Mean Passengers</t>
  </si>
  <si>
    <t>HYPOTHESIS TEST 2: Dublin vs Cork Mean Quarterly Passengers</t>
  </si>
  <si>
    <t>LOWER QUARTILE FOR EACH AIRPORT</t>
  </si>
  <si>
    <t>UPPER QUARTILE FOR EACH AIRPORT</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</si>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</sst>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2]\ * #,##0_ ;_ [$€-2]\ * \-#,##0_ ;_ [$€-2]\ * &quot;-&quot;??_ ;_ @_ "/>
  </numFmts>
  <fonts count="21" x14ac:knownFonts="1">
    <font>
      <sz val="11"/>
      <color rgb="FF000000"/>
      <name val="Calibri"/>
      <family val="2"/>
    </font>
    <font>
      <b/>
      <sz val="13"/>
      <color rgb="FF000000"/>
      <name val="Calibri"/>
      <family val="2"/>
    </font>
    <font>
      <b/>
      <sz val="11"/>
      <color rgb="FF000000"/>
      <name val="Calibri"/>
      <family val="2"/>
    </font>
    <font>
      <u/>
      <sz val="11"/>
      <color theme="10"/>
      <name val="Calibri"/>
      <family val="2"/>
    </font>
    <font>
      <sz val="8"/>
      <color rgb="FF000000"/>
      <name val="Courier New"/>
      <family val="3"/>
    </font>
    <font>
      <sz val="12"/>
      <color rgb="FF000000"/>
      <name val="Calibri"/>
      <family val="2"/>
    </font>
    <font>
      <b/>
      <sz val="14"/>
      <color rgb="FF000000"/>
      <name val="Calibri"/>
      <family val="2"/>
    </font>
    <font>
      <sz val="14"/>
      <color rgb="FF000000"/>
      <name val="Calibri"/>
      <family val="2"/>
    </font>
    <font>
      <sz val="8"/>
      <name val="Calibri"/>
      <family val="2"/>
    </font>
    <font>
      <b/>
      <sz val="12"/>
      <color theme="1"/>
      <name val="Calibri"/>
      <family val="2"/>
      <scheme val="minor"/>
    </font>
    <font>
      <sz val="11"/>
      <color rgb="FF000000"/>
      <name val="Courier New"/>
      <family val="3"/>
    </font>
    <font>
      <sz val="11"/>
      <color rgb="FF000000"/>
      <name val="Calibri"/>
      <family val="2"/>
      <scheme val="minor"/>
    </font>
    <font>
      <b/>
      <sz val="12"/>
      <color rgb="FF000000"/>
      <name val="Calibri"/>
      <family val="2"/>
    </font>
    <font>
      <b/>
      <sz val="12"/>
      <color rgb="FFFFFFFF"/>
      <name val="Calibri"/>
      <family val="2"/>
    </font>
    <font>
      <sz val="12"/>
      <color rgb="FFFFFFFF"/>
      <name val="Calibri"/>
      <family val="2"/>
    </font>
    <font>
      <sz val="11"/>
      <color rgb="FF000000"/>
      <name val="Calibri"/>
      <family val="2"/>
      <scheme val="minor"/>
    </font>
    <font>
      <b/>
      <sz val="11"/>
      <color rgb="FF000000"/>
      <name val="Calibri"/>
      <family val="2"/>
      <scheme val="minor"/>
    </font>
    <font>
      <b/>
      <sz val="11"/>
      <color rgb="FF000000"/>
      <name val="Aptos"/>
      <family val="2"/>
    </font>
    <font>
      <sz val="11"/>
      <color rgb="FF000000"/>
      <name val="Aptos"/>
      <family val="2"/>
    </font>
    <font>
      <sz val="8"/>
      <color rgb="FF000000"/>
      <name val="Aptos"/>
      <family val="2"/>
    </font>
    <font>
      <b/>
      <sz val="14"/>
      <color rgb="FF153D63"/>
      <name val="Aptos"/>
      <family val="2"/>
    </font>
  </fonts>
  <fills count="27">
    <fill>
      <patternFill patternType="none"/>
    </fill>
    <fill>
      <patternFill patternType="gray125"/>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DDEBF7"/>
        <bgColor rgb="FF000000"/>
      </patternFill>
    </fill>
    <fill>
      <patternFill patternType="solid">
        <fgColor rgb="FFE2EFDA"/>
        <bgColor rgb="FF000000"/>
      </patternFill>
    </fill>
    <fill>
      <patternFill patternType="solid">
        <fgColor rgb="FFC6E0B4"/>
        <bgColor rgb="FF000000"/>
      </patternFill>
    </fill>
    <fill>
      <patternFill patternType="solid">
        <fgColor rgb="FFFFF2CC"/>
        <bgColor rgb="FF000000"/>
      </patternFill>
    </fill>
    <fill>
      <patternFill patternType="solid">
        <fgColor rgb="FFA9D08E"/>
        <bgColor rgb="FF000000"/>
      </patternFill>
    </fill>
    <fill>
      <patternFill patternType="solid">
        <fgColor rgb="FFFCE4D6"/>
        <bgColor rgb="FF000000"/>
      </patternFill>
    </fill>
    <fill>
      <patternFill patternType="solid">
        <fgColor rgb="FF548235"/>
        <bgColor rgb="FF000000"/>
      </patternFill>
    </fill>
    <fill>
      <patternFill patternType="solid">
        <fgColor rgb="FFFFD966"/>
        <bgColor rgb="FF000000"/>
      </patternFill>
    </fill>
    <fill>
      <patternFill patternType="solid">
        <fgColor rgb="FF375623"/>
        <bgColor rgb="FF000000"/>
      </patternFill>
    </fill>
    <fill>
      <patternFill patternType="solid">
        <fgColor rgb="FF000000"/>
        <bgColor rgb="FF000000"/>
      </patternFill>
    </fill>
    <fill>
      <patternFill patternType="solid">
        <fgColor theme="0"/>
        <bgColor indexed="64"/>
      </patternFill>
    </fill>
    <fill>
      <patternFill patternType="solid">
        <fgColor theme="6" tint="0.39997558519241921"/>
        <bgColor indexed="64"/>
      </patternFill>
    </fill>
    <fill>
      <patternFill patternType="solid">
        <fgColor rgb="FF92D050"/>
        <bgColor indexed="64"/>
      </patternFill>
    </fill>
    <fill>
      <patternFill patternType="solid">
        <fgColor rgb="FFFF0000"/>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2" tint="-0.249977111117893"/>
        <bgColor indexed="64"/>
      </patternFill>
    </fill>
  </fills>
  <borders count="51">
    <border>
      <left/>
      <right/>
      <top/>
      <bottom/>
      <diagonal/>
    </border>
    <border>
      <left/>
      <right/>
      <top/>
      <bottom style="thick">
        <color rgb="FFA2B8E1"/>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rgb="FF000000"/>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right/>
      <top/>
      <bottom style="thin">
        <color rgb="FF000000"/>
      </bottom>
      <diagonal/>
    </border>
    <border>
      <left/>
      <right/>
      <top style="medium">
        <color theme="0" tint="-0.14996795556505021"/>
      </top>
      <bottom style="medium">
        <color theme="0" tint="-0.14996795556505021"/>
      </bottom>
      <diagonal/>
    </border>
    <border>
      <left style="medium">
        <color indexed="64"/>
      </left>
      <right/>
      <top style="medium">
        <color indexed="64"/>
      </top>
      <bottom style="medium">
        <color theme="0" tint="-0.14996795556505021"/>
      </bottom>
      <diagonal/>
    </border>
    <border>
      <left/>
      <right/>
      <top style="medium">
        <color indexed="64"/>
      </top>
      <bottom style="medium">
        <color theme="0" tint="-0.14996795556505021"/>
      </bottom>
      <diagonal/>
    </border>
    <border>
      <left/>
      <right style="medium">
        <color indexed="64"/>
      </right>
      <top style="medium">
        <color indexed="64"/>
      </top>
      <bottom style="medium">
        <color theme="0" tint="-0.14996795556505021"/>
      </bottom>
      <diagonal/>
    </border>
    <border>
      <left style="medium">
        <color indexed="64"/>
      </left>
      <right/>
      <top style="medium">
        <color theme="0" tint="-0.14996795556505021"/>
      </top>
      <bottom style="medium">
        <color theme="0" tint="-0.14996795556505021"/>
      </bottom>
      <diagonal/>
    </border>
    <border>
      <left/>
      <right style="medium">
        <color indexed="64"/>
      </right>
      <top style="medium">
        <color theme="0" tint="-0.14996795556505021"/>
      </top>
      <bottom style="medium">
        <color theme="0" tint="-0.14996795556505021"/>
      </bottom>
      <diagonal/>
    </border>
    <border>
      <left style="medium">
        <color indexed="64"/>
      </left>
      <right/>
      <top style="medium">
        <color theme="0" tint="-0.14996795556505021"/>
      </top>
      <bottom style="medium">
        <color indexed="64"/>
      </bottom>
      <diagonal/>
    </border>
    <border>
      <left/>
      <right/>
      <top style="medium">
        <color theme="0" tint="-0.14996795556505021"/>
      </top>
      <bottom style="medium">
        <color indexed="64"/>
      </bottom>
      <diagonal/>
    </border>
    <border>
      <left/>
      <right style="medium">
        <color indexed="64"/>
      </right>
      <top style="medium">
        <color theme="0" tint="-0.14996795556505021"/>
      </top>
      <bottom style="medium">
        <color indexed="64"/>
      </bottom>
      <diagonal/>
    </border>
  </borders>
  <cellStyleXfs count="1">
    <xf numFmtId="0" fontId="0" fillId="0" borderId="0" applyBorder="0"/>
  </cellStyleXfs>
  <cellXfs count="198">
    <xf numFmtId="0" fontId="0" fillId="0" borderId="0" xfId="0"/>
    <xf numFmtId="0" fontId="1" fillId="0" borderId="1" xfId="0" applyFont="1" applyBorder="1"/>
    <xf numFmtId="0" fontId="0" fillId="0" borderId="1" xfId="0" applyBorder="1"/>
    <xf numFmtId="0" fontId="2" fillId="0" borderId="0" xfId="0" applyFont="1"/>
    <xf numFmtId="0" fontId="0" fillId="0" borderId="0" xfId="0" applyAlignment="1">
      <alignment wrapText="1"/>
    </xf>
    <xf numFmtId="0" fontId="3" fillId="0" borderId="0" xfId="0" applyFont="1"/>
    <xf numFmtId="0" fontId="2" fillId="0" borderId="0" xfId="0" applyFont="1" applyAlignment="1">
      <alignment horizontal="center"/>
    </xf>
    <xf numFmtId="0" fontId="4" fillId="0" borderId="0" xfId="0" applyFont="1" applyAlignment="1">
      <alignment horizontal="center"/>
    </xf>
    <xf numFmtId="0" fontId="0" fillId="0" borderId="0" xfId="0" applyAlignment="1">
      <alignment horizontal="center"/>
    </xf>
    <xf numFmtId="0" fontId="6" fillId="0" borderId="0" xfId="0" applyFont="1"/>
    <xf numFmtId="0" fontId="7" fillId="0" borderId="0" xfId="0" applyFont="1"/>
    <xf numFmtId="0" fontId="0" fillId="0" borderId="2" xfId="0" applyBorder="1"/>
    <xf numFmtId="0" fontId="0" fillId="0" borderId="2" xfId="0" applyBorder="1" applyAlignment="1">
      <alignment horizontal="left" indent="1"/>
    </xf>
    <xf numFmtId="0" fontId="0" fillId="2" borderId="0" xfId="0" applyFill="1"/>
    <xf numFmtId="0" fontId="0" fillId="2" borderId="0" xfId="0" applyFill="1" applyAlignment="1">
      <alignment horizontal="left"/>
    </xf>
    <xf numFmtId="0" fontId="0" fillId="3" borderId="2" xfId="0" applyFill="1" applyBorder="1" applyAlignment="1">
      <alignment horizontal="left"/>
    </xf>
    <xf numFmtId="2" fontId="0" fillId="0" borderId="4" xfId="0" applyNumberFormat="1" applyBorder="1" applyAlignment="1">
      <alignment horizontal="center"/>
    </xf>
    <xf numFmtId="0" fontId="9" fillId="5" borderId="7" xfId="0" applyFont="1" applyFill="1" applyBorder="1" applyAlignment="1">
      <alignment horizontal="center"/>
    </xf>
    <xf numFmtId="0" fontId="9" fillId="5" borderId="8" xfId="0" applyFont="1" applyFill="1" applyBorder="1" applyAlignment="1">
      <alignment horizontal="center"/>
    </xf>
    <xf numFmtId="0" fontId="9" fillId="5" borderId="9" xfId="0" applyFont="1" applyFill="1" applyBorder="1" applyAlignment="1">
      <alignment horizontal="center"/>
    </xf>
    <xf numFmtId="0" fontId="9" fillId="5" borderId="10" xfId="0" applyFont="1" applyFill="1" applyBorder="1" applyAlignment="1">
      <alignment horizontal="center"/>
    </xf>
    <xf numFmtId="9" fontId="0" fillId="0" borderId="3" xfId="0" applyNumberFormat="1" applyBorder="1" applyAlignment="1">
      <alignment horizontal="center"/>
    </xf>
    <xf numFmtId="2" fontId="0" fillId="0" borderId="11" xfId="0" applyNumberFormat="1" applyBorder="1" applyAlignment="1">
      <alignment horizontal="center"/>
    </xf>
    <xf numFmtId="9" fontId="0" fillId="0" borderId="12" xfId="0" applyNumberFormat="1" applyBorder="1" applyAlignment="1">
      <alignment horizontal="center"/>
    </xf>
    <xf numFmtId="9" fontId="0" fillId="0" borderId="13" xfId="0" applyNumberFormat="1" applyBorder="1" applyAlignment="1">
      <alignment horizontal="center"/>
    </xf>
    <xf numFmtId="2" fontId="0" fillId="0" borderId="13" xfId="0" applyNumberFormat="1" applyBorder="1" applyAlignment="1">
      <alignment horizontal="center"/>
    </xf>
    <xf numFmtId="2" fontId="0" fillId="0" borderId="14" xfId="0" applyNumberFormat="1" applyBorder="1" applyAlignment="1">
      <alignment horizontal="center"/>
    </xf>
    <xf numFmtId="2" fontId="0" fillId="0" borderId="15" xfId="0" applyNumberFormat="1" applyBorder="1" applyAlignment="1">
      <alignment horizontal="center"/>
    </xf>
    <xf numFmtId="0" fontId="0" fillId="0" borderId="2" xfId="0" applyBorder="1" applyAlignment="1">
      <alignment horizontal="center"/>
    </xf>
    <xf numFmtId="2" fontId="0" fillId="0" borderId="2" xfId="0" applyNumberFormat="1" applyBorder="1" applyAlignment="1">
      <alignment horizontal="center"/>
    </xf>
    <xf numFmtId="9" fontId="0" fillId="0" borderId="0" xfId="0" applyNumberFormat="1" applyBorder="1" applyAlignment="1">
      <alignment horizontal="center"/>
    </xf>
    <xf numFmtId="2" fontId="0" fillId="0" borderId="0" xfId="0" applyNumberFormat="1" applyBorder="1" applyAlignment="1">
      <alignment horizontal="center"/>
    </xf>
    <xf numFmtId="0" fontId="6" fillId="8" borderId="25" xfId="0" applyFont="1" applyFill="1" applyBorder="1"/>
    <xf numFmtId="0" fontId="6" fillId="8" borderId="17" xfId="0" applyFont="1" applyFill="1" applyBorder="1"/>
    <xf numFmtId="0" fontId="6" fillId="8" borderId="18" xfId="0" applyFont="1" applyFill="1" applyBorder="1"/>
    <xf numFmtId="0" fontId="0" fillId="8" borderId="18" xfId="0" applyFill="1" applyBorder="1"/>
    <xf numFmtId="0" fontId="0" fillId="0" borderId="0" xfId="0" applyBorder="1" applyAlignment="1">
      <alignment horizontal="center"/>
    </xf>
    <xf numFmtId="0" fontId="0" fillId="0" borderId="4" xfId="0" applyBorder="1" applyAlignment="1">
      <alignment horizontal="center"/>
    </xf>
    <xf numFmtId="0" fontId="0" fillId="0" borderId="13" xfId="0" applyBorder="1" applyAlignment="1">
      <alignment horizontal="center"/>
    </xf>
    <xf numFmtId="0" fontId="0" fillId="0" borderId="15" xfId="0" applyBorder="1" applyAlignment="1">
      <alignment horizontal="center"/>
    </xf>
    <xf numFmtId="0" fontId="2" fillId="0" borderId="0" xfId="0" applyFont="1" applyBorder="1"/>
    <xf numFmtId="0" fontId="0" fillId="0" borderId="0" xfId="0" applyBorder="1"/>
    <xf numFmtId="0" fontId="4" fillId="0" borderId="0" xfId="0" applyFont="1" applyBorder="1"/>
    <xf numFmtId="0" fontId="10" fillId="9" borderId="0" xfId="0" applyFont="1" applyFill="1" applyBorder="1"/>
    <xf numFmtId="0" fontId="2" fillId="0" borderId="0" xfId="0" applyFont="1" applyBorder="1" applyAlignment="1">
      <alignment horizontal="center" wrapText="1"/>
    </xf>
    <xf numFmtId="0" fontId="2" fillId="0" borderId="0" xfId="0" applyFont="1" applyBorder="1" applyAlignment="1">
      <alignment horizontal="center"/>
    </xf>
    <xf numFmtId="0" fontId="11" fillId="0" borderId="0" xfId="0" applyFont="1" applyBorder="1"/>
    <xf numFmtId="0" fontId="5" fillId="0" borderId="4" xfId="0" applyFont="1" applyBorder="1"/>
    <xf numFmtId="0" fontId="5" fillId="0" borderId="15" xfId="0" applyFont="1" applyBorder="1"/>
    <xf numFmtId="0" fontId="5" fillId="0" borderId="0" xfId="0" applyFont="1" applyBorder="1"/>
    <xf numFmtId="0" fontId="5" fillId="0" borderId="28" xfId="0" applyFont="1" applyBorder="1"/>
    <xf numFmtId="0" fontId="5" fillId="0" borderId="3" xfId="0" applyFont="1" applyBorder="1"/>
    <xf numFmtId="0" fontId="5" fillId="0" borderId="15" xfId="0" applyFont="1" applyBorder="1" applyAlignment="1">
      <alignment wrapText="1"/>
    </xf>
    <xf numFmtId="0" fontId="5" fillId="0" borderId="0" xfId="0" applyFont="1" applyBorder="1" applyAlignment="1">
      <alignment wrapText="1"/>
    </xf>
    <xf numFmtId="0" fontId="5" fillId="0" borderId="3" xfId="0" applyFont="1" applyBorder="1" applyAlignment="1">
      <alignment wrapText="1"/>
    </xf>
    <xf numFmtId="0" fontId="12" fillId="10" borderId="3" xfId="0" applyFont="1" applyFill="1" applyBorder="1" applyAlignment="1">
      <alignment wrapText="1"/>
    </xf>
    <xf numFmtId="0" fontId="12" fillId="10" borderId="12" xfId="0" applyFont="1" applyFill="1" applyBorder="1" applyAlignment="1">
      <alignment wrapText="1"/>
    </xf>
    <xf numFmtId="0" fontId="12" fillId="13" borderId="27" xfId="0" applyFont="1" applyFill="1" applyBorder="1" applyAlignment="1">
      <alignment wrapText="1"/>
    </xf>
    <xf numFmtId="0" fontId="12" fillId="13" borderId="12" xfId="0" applyFont="1" applyFill="1" applyBorder="1" applyAlignment="1">
      <alignment wrapText="1"/>
    </xf>
    <xf numFmtId="0" fontId="12" fillId="11" borderId="27" xfId="0" applyFont="1" applyFill="1" applyBorder="1" applyAlignment="1">
      <alignment wrapText="1"/>
    </xf>
    <xf numFmtId="0" fontId="12" fillId="15" borderId="3" xfId="0" applyFont="1" applyFill="1" applyBorder="1" applyAlignment="1">
      <alignment wrapText="1"/>
    </xf>
    <xf numFmtId="0" fontId="12" fillId="10" borderId="27" xfId="0" applyFont="1" applyFill="1" applyBorder="1" applyAlignment="1">
      <alignment wrapText="1"/>
    </xf>
    <xf numFmtId="0" fontId="12" fillId="17" borderId="3" xfId="0" applyFont="1" applyFill="1" applyBorder="1" applyAlignment="1">
      <alignment wrapText="1"/>
    </xf>
    <xf numFmtId="0" fontId="12" fillId="13" borderId="3" xfId="0" applyFont="1" applyFill="1" applyBorder="1" applyAlignment="1">
      <alignment wrapText="1"/>
    </xf>
    <xf numFmtId="0" fontId="14" fillId="19" borderId="27" xfId="0" applyFont="1" applyFill="1" applyBorder="1" applyAlignment="1">
      <alignment wrapText="1"/>
    </xf>
    <xf numFmtId="0" fontId="14" fillId="0" borderId="3" xfId="0" applyFont="1" applyBorder="1" applyAlignment="1">
      <alignment wrapText="1"/>
    </xf>
    <xf numFmtId="0" fontId="14" fillId="19" borderId="12" xfId="0" applyFont="1" applyFill="1" applyBorder="1" applyAlignment="1">
      <alignment wrapText="1"/>
    </xf>
    <xf numFmtId="0" fontId="5" fillId="0" borderId="15" xfId="0" applyFont="1" applyBorder="1" applyAlignment="1">
      <alignment horizontal="left"/>
    </xf>
    <xf numFmtId="0" fontId="5" fillId="0" borderId="4" xfId="0" applyFont="1" applyBorder="1" applyAlignment="1">
      <alignment wrapText="1"/>
    </xf>
    <xf numFmtId="0" fontId="5" fillId="0" borderId="28" xfId="0" applyFont="1" applyBorder="1" applyAlignment="1">
      <alignment wrapText="1"/>
    </xf>
    <xf numFmtId="0" fontId="10" fillId="20" borderId="0" xfId="0" applyFont="1" applyFill="1" applyBorder="1"/>
    <xf numFmtId="0" fontId="12" fillId="0" borderId="3" xfId="0" applyFont="1" applyBorder="1" applyAlignment="1">
      <alignment wrapText="1"/>
    </xf>
    <xf numFmtId="0" fontId="0" fillId="2" borderId="0" xfId="0" pivotButton="1" applyFill="1"/>
    <xf numFmtId="0" fontId="0" fillId="0" borderId="27" xfId="0" applyBorder="1"/>
    <xf numFmtId="0" fontId="0" fillId="0" borderId="30" xfId="0" applyBorder="1"/>
    <xf numFmtId="0" fontId="0" fillId="0" borderId="28" xfId="0" applyBorder="1"/>
    <xf numFmtId="0" fontId="0" fillId="0" borderId="3" xfId="0" applyBorder="1"/>
    <xf numFmtId="0" fontId="0" fillId="0" borderId="4" xfId="0" applyBorder="1"/>
    <xf numFmtId="0" fontId="0" fillId="0" borderId="12" xfId="0" applyBorder="1"/>
    <xf numFmtId="0" fontId="0" fillId="0" borderId="13" xfId="0" applyBorder="1"/>
    <xf numFmtId="0" fontId="0" fillId="0" borderId="15" xfId="0" applyBorder="1"/>
    <xf numFmtId="0" fontId="0" fillId="0" borderId="31" xfId="0" applyBorder="1" applyAlignment="1">
      <alignment horizontal="center"/>
    </xf>
    <xf numFmtId="0" fontId="0" fillId="0" borderId="31" xfId="0" applyBorder="1"/>
    <xf numFmtId="0" fontId="0" fillId="0" borderId="39" xfId="0" applyBorder="1"/>
    <xf numFmtId="0" fontId="0" fillId="0" borderId="40" xfId="0" applyBorder="1"/>
    <xf numFmtId="0" fontId="0" fillId="0" borderId="35" xfId="0" applyBorder="1"/>
    <xf numFmtId="0" fontId="0" fillId="0" borderId="34" xfId="0" applyBorder="1"/>
    <xf numFmtId="0" fontId="4" fillId="0" borderId="0" xfId="0" applyFont="1" applyBorder="1" applyAlignment="1">
      <alignment horizontal="center"/>
    </xf>
    <xf numFmtId="0" fontId="4" fillId="0" borderId="41" xfId="0" applyFont="1" applyBorder="1" applyAlignment="1">
      <alignment horizontal="center"/>
    </xf>
    <xf numFmtId="0" fontId="0" fillId="0" borderId="41" xfId="0" applyBorder="1" applyAlignment="1">
      <alignment horizontal="center"/>
    </xf>
    <xf numFmtId="0" fontId="6" fillId="22" borderId="37" xfId="0" applyFont="1" applyFill="1" applyBorder="1"/>
    <xf numFmtId="0" fontId="0" fillId="22" borderId="38" xfId="0" applyFill="1" applyBorder="1" applyAlignment="1">
      <alignment horizontal="center"/>
    </xf>
    <xf numFmtId="0" fontId="0" fillId="22" borderId="38" xfId="0" applyFill="1" applyBorder="1"/>
    <xf numFmtId="0" fontId="0" fillId="22" borderId="36" xfId="0" applyFill="1" applyBorder="1"/>
    <xf numFmtId="0" fontId="6" fillId="22" borderId="38" xfId="0" applyFont="1" applyFill="1" applyBorder="1"/>
    <xf numFmtId="0" fontId="2" fillId="25" borderId="31" xfId="0" applyFont="1" applyFill="1" applyBorder="1" applyAlignment="1">
      <alignment horizontal="center"/>
    </xf>
    <xf numFmtId="0" fontId="0" fillId="25" borderId="32" xfId="0" applyFill="1" applyBorder="1" applyAlignment="1">
      <alignment horizontal="center"/>
    </xf>
    <xf numFmtId="0" fontId="0" fillId="25" borderId="31" xfId="0" applyFill="1" applyBorder="1" applyAlignment="1">
      <alignment horizontal="center"/>
    </xf>
    <xf numFmtId="0" fontId="12" fillId="15" borderId="6" xfId="0" applyFont="1" applyFill="1" applyBorder="1" applyAlignment="1">
      <alignment horizontal="center"/>
    </xf>
    <xf numFmtId="0" fontId="2" fillId="21" borderId="31" xfId="0" applyFont="1" applyFill="1" applyBorder="1" applyAlignment="1">
      <alignment horizontal="center"/>
    </xf>
    <xf numFmtId="0" fontId="16" fillId="3" borderId="31" xfId="0" applyFont="1" applyFill="1" applyBorder="1" applyAlignment="1">
      <alignment horizontal="center"/>
    </xf>
    <xf numFmtId="0" fontId="2" fillId="3" borderId="31" xfId="0" applyFont="1" applyFill="1" applyBorder="1" applyAlignment="1">
      <alignment horizontal="center"/>
    </xf>
    <xf numFmtId="0" fontId="2" fillId="3" borderId="0" xfId="0" applyFont="1" applyFill="1" applyAlignment="1">
      <alignment horizontal="center" wrapText="1"/>
    </xf>
    <xf numFmtId="0" fontId="5" fillId="0" borderId="0" xfId="0" applyFont="1" applyAlignment="1">
      <alignment horizontal="center"/>
    </xf>
    <xf numFmtId="0" fontId="7" fillId="0" borderId="0" xfId="0" applyFont="1" applyAlignment="1">
      <alignment horizontal="center"/>
    </xf>
    <xf numFmtId="0" fontId="15" fillId="0" borderId="31" xfId="0" quotePrefix="1" applyFont="1" applyBorder="1" applyAlignment="1">
      <alignment horizontal="center"/>
    </xf>
    <xf numFmtId="0" fontId="2" fillId="4" borderId="33" xfId="0" applyFont="1" applyFill="1" applyBorder="1" applyAlignment="1">
      <alignment horizontal="center"/>
    </xf>
    <xf numFmtId="0" fontId="0" fillId="20" borderId="31" xfId="0" applyFill="1" applyBorder="1" applyAlignment="1">
      <alignment horizontal="center"/>
    </xf>
    <xf numFmtId="0" fontId="2" fillId="26" borderId="33" xfId="0" applyFont="1" applyFill="1" applyBorder="1" applyAlignment="1">
      <alignment horizontal="center"/>
    </xf>
    <xf numFmtId="0" fontId="0" fillId="0" borderId="32" xfId="0" applyBorder="1" applyAlignment="1">
      <alignment horizontal="center"/>
    </xf>
    <xf numFmtId="0" fontId="0" fillId="2" borderId="0" xfId="0" applyFill="1" applyAlignment="1">
      <alignment horizontal="center"/>
    </xf>
    <xf numFmtId="0" fontId="0" fillId="3" borderId="2" xfId="0" applyFill="1" applyBorder="1" applyAlignment="1">
      <alignment horizontal="center"/>
    </xf>
    <xf numFmtId="0" fontId="17" fillId="24" borderId="2" xfId="0" applyFont="1" applyFill="1" applyBorder="1" applyAlignment="1">
      <alignment horizontal="center"/>
    </xf>
    <xf numFmtId="0" fontId="18" fillId="0" borderId="2" xfId="0" applyFont="1" applyBorder="1" applyAlignment="1">
      <alignment horizontal="center"/>
    </xf>
    <xf numFmtId="0" fontId="19" fillId="0" borderId="2" xfId="0" applyFont="1" applyBorder="1" applyAlignment="1">
      <alignment horizontal="center"/>
    </xf>
    <xf numFmtId="0" fontId="18" fillId="22" borderId="2" xfId="0" applyFont="1" applyFill="1" applyBorder="1" applyAlignment="1">
      <alignment horizontal="center"/>
    </xf>
    <xf numFmtId="0" fontId="18" fillId="23" borderId="2" xfId="0" applyFont="1" applyFill="1" applyBorder="1" applyAlignment="1">
      <alignment horizontal="center"/>
    </xf>
    <xf numFmtId="0" fontId="18" fillId="2" borderId="2" xfId="0" applyFont="1" applyFill="1" applyBorder="1" applyAlignment="1">
      <alignment horizontal="center"/>
    </xf>
    <xf numFmtId="0" fontId="18" fillId="0" borderId="0" xfId="0" applyFont="1" applyAlignment="1">
      <alignment horizontal="center"/>
    </xf>
    <xf numFmtId="0" fontId="19" fillId="0" borderId="0" xfId="0" applyFont="1" applyAlignment="1">
      <alignment horizontal="center"/>
    </xf>
    <xf numFmtId="0" fontId="2" fillId="6" borderId="19" xfId="0" applyFont="1" applyFill="1" applyBorder="1" applyAlignment="1">
      <alignment horizontal="center"/>
    </xf>
    <xf numFmtId="0" fontId="0" fillId="6" borderId="20" xfId="0" applyFill="1" applyBorder="1" applyAlignment="1">
      <alignment horizontal="center"/>
    </xf>
    <xf numFmtId="0" fontId="2" fillId="6" borderId="21" xfId="0" applyFont="1" applyFill="1" applyBorder="1" applyAlignment="1">
      <alignment horizontal="center"/>
    </xf>
    <xf numFmtId="0" fontId="0" fillId="6" borderId="22" xfId="0" applyFill="1" applyBorder="1" applyAlignment="1">
      <alignment horizontal="center"/>
    </xf>
    <xf numFmtId="0" fontId="2" fillId="6" borderId="23" xfId="0" applyFont="1" applyFill="1" applyBorder="1" applyAlignment="1">
      <alignment horizontal="center"/>
    </xf>
    <xf numFmtId="0" fontId="0" fillId="6" borderId="24" xfId="0" applyFill="1" applyBorder="1" applyAlignment="1">
      <alignment horizontal="center"/>
    </xf>
    <xf numFmtId="0" fontId="6" fillId="7" borderId="16" xfId="0" applyFont="1" applyFill="1" applyBorder="1"/>
    <xf numFmtId="0" fontId="0" fillId="7" borderId="17" xfId="0" applyFill="1" applyBorder="1"/>
    <xf numFmtId="0" fontId="0" fillId="7" borderId="18" xfId="0" applyFill="1" applyBorder="1"/>
    <xf numFmtId="0" fontId="2" fillId="0" borderId="2" xfId="0" applyFont="1" applyBorder="1" applyAlignment="1">
      <alignment horizontal="center"/>
    </xf>
    <xf numFmtId="0" fontId="20" fillId="0" borderId="25" xfId="0" applyFont="1" applyBorder="1"/>
    <xf numFmtId="0" fontId="0" fillId="0" borderId="18" xfId="0" applyBorder="1"/>
    <xf numFmtId="0" fontId="20" fillId="0" borderId="16" xfId="0" applyFont="1" applyBorder="1" applyAlignment="1">
      <alignment horizontal="justify" vertical="center"/>
    </xf>
    <xf numFmtId="0" fontId="15" fillId="0" borderId="31" xfId="0" applyFont="1" applyBorder="1" applyAlignment="1">
      <alignment horizontal="center"/>
    </xf>
    <xf numFmtId="164" fontId="0" fillId="0" borderId="42" xfId="0" applyNumberFormat="1" applyBorder="1"/>
    <xf numFmtId="0" fontId="9" fillId="4" borderId="5" xfId="0" applyFont="1" applyFill="1" applyBorder="1" applyAlignment="1">
      <alignment horizontal="center"/>
    </xf>
    <xf numFmtId="0" fontId="9" fillId="4" borderId="6" xfId="0" applyFont="1" applyFill="1" applyBorder="1" applyAlignment="1">
      <alignment horizontal="center"/>
    </xf>
    <xf numFmtId="0" fontId="12" fillId="14" borderId="3" xfId="0" applyFont="1" applyFill="1" applyBorder="1" applyAlignment="1">
      <alignment wrapText="1"/>
    </xf>
    <xf numFmtId="0" fontId="13" fillId="16" borderId="3" xfId="0" applyFont="1" applyFill="1" applyBorder="1" applyAlignment="1">
      <alignment wrapText="1"/>
    </xf>
    <xf numFmtId="0" fontId="13" fillId="18" borderId="3" xfId="0" applyFont="1" applyFill="1" applyBorder="1" applyAlignment="1">
      <alignment wrapText="1"/>
    </xf>
    <xf numFmtId="0" fontId="13" fillId="18" borderId="29" xfId="0" applyFont="1" applyFill="1" applyBorder="1" applyAlignment="1">
      <alignment wrapText="1"/>
    </xf>
    <xf numFmtId="0" fontId="0" fillId="0" borderId="0" xfId="0" applyAlignment="1">
      <alignment horizontal="center" wrapText="1"/>
    </xf>
    <xf numFmtId="0" fontId="0" fillId="0" borderId="0" xfId="0" applyAlignment="1">
      <alignment horizontal="center"/>
    </xf>
    <xf numFmtId="0" fontId="12" fillId="10" borderId="0" xfId="0" applyFont="1" applyFill="1" applyBorder="1" applyAlignment="1">
      <alignment wrapText="1"/>
    </xf>
    <xf numFmtId="0" fontId="12" fillId="11" borderId="25" xfId="0" applyFont="1" applyFill="1" applyBorder="1" applyAlignment="1">
      <alignment wrapText="1"/>
    </xf>
    <xf numFmtId="0" fontId="12" fillId="11" borderId="26" xfId="0" applyFont="1" applyFill="1" applyBorder="1" applyAlignment="1">
      <alignment wrapText="1"/>
    </xf>
    <xf numFmtId="0" fontId="12" fillId="12" borderId="27" xfId="0" applyFont="1" applyFill="1" applyBorder="1" applyAlignment="1">
      <alignment wrapText="1"/>
    </xf>
    <xf numFmtId="0" fontId="12" fillId="12" borderId="3" xfId="0" applyFont="1" applyFill="1" applyBorder="1" applyAlignment="1">
      <alignment wrapText="1"/>
    </xf>
    <xf numFmtId="0" fontId="13" fillId="16" borderId="3" xfId="0" applyFont="1" applyFill="1" applyBorder="1"/>
    <xf numFmtId="0" fontId="13" fillId="18" borderId="3" xfId="0" applyFont="1" applyFill="1" applyBorder="1"/>
    <xf numFmtId="0" fontId="13" fillId="18" borderId="29" xfId="0" applyFont="1" applyFill="1" applyBorder="1"/>
    <xf numFmtId="0" fontId="5" fillId="0" borderId="28" xfId="0" applyFont="1" applyBorder="1" applyAlignment="1">
      <alignment horizontal="center" wrapText="1"/>
    </xf>
    <xf numFmtId="0" fontId="5" fillId="0" borderId="4" xfId="0" applyFont="1" applyBorder="1" applyAlignment="1">
      <alignment horizontal="center" wrapText="1"/>
    </xf>
    <xf numFmtId="0" fontId="12" fillId="10" borderId="0" xfId="0" applyFont="1" applyFill="1" applyBorder="1"/>
    <xf numFmtId="0" fontId="12" fillId="14" borderId="3" xfId="0" applyFont="1" applyFill="1" applyBorder="1"/>
    <xf numFmtId="0" fontId="0" fillId="4" borderId="0" xfId="0" applyFill="1" applyAlignment="1">
      <alignment horizontal="center" vertical="center"/>
    </xf>
    <xf numFmtId="0" fontId="0" fillId="0" borderId="43" xfId="0" applyBorder="1"/>
    <xf numFmtId="164" fontId="0" fillId="0" borderId="44" xfId="0" applyNumberFormat="1" applyBorder="1"/>
    <xf numFmtId="164" fontId="0" fillId="0" borderId="45" xfId="0" applyNumberFormat="1" applyBorder="1"/>
    <xf numFmtId="0" fontId="0" fillId="0" borderId="46" xfId="0" applyBorder="1"/>
    <xf numFmtId="164" fontId="0" fillId="0" borderId="47" xfId="0" applyNumberFormat="1" applyBorder="1"/>
    <xf numFmtId="0" fontId="0" fillId="0" borderId="48" xfId="0" applyBorder="1"/>
    <xf numFmtId="164" fontId="0" fillId="0" borderId="49" xfId="0" applyNumberFormat="1" applyBorder="1"/>
    <xf numFmtId="164" fontId="0" fillId="0" borderId="50" xfId="0" applyNumberFormat="1" applyBorder="1"/>
    <xf numFmtId="0" fontId="0" fillId="0" borderId="2" xfId="0" applyNumberFormat="1" applyBorder="1" applyAlignment="1">
      <alignment horizontal="center"/>
    </xf>
    <xf numFmtId="0" fontId="0" fillId="2" borderId="0" xfId="0" applyNumberFormat="1" applyFill="1" applyAlignment="1">
      <alignment horizontal="center"/>
    </xf>
    <xf numFmtId="0" fontId="6" fillId="22" borderId="0" xfId="0" applyFont="1" applyFill="1" applyBorder="1" applyAlignment="1">
      <alignment horizontal="center"/>
    </xf>
    <xf numFmtId="0" fontId="5" fillId="0" borderId="0" xfId="0" applyFont="1" applyBorder="1" applyAlignment="1">
      <alignment horizontal="center"/>
    </xf>
    <xf numFmtId="0" fontId="5" fillId="0" borderId="39" xfId="0" applyFont="1" applyBorder="1" applyAlignment="1">
      <alignment horizontal="center"/>
    </xf>
    <xf numFmtId="4" fontId="0" fillId="0" borderId="0" xfId="0" applyNumberFormat="1" applyBorder="1" applyAlignment="1">
      <alignment horizontal="center"/>
    </xf>
    <xf numFmtId="0" fontId="5" fillId="0" borderId="35" xfId="0" applyFont="1" applyBorder="1" applyAlignment="1">
      <alignment horizontal="center"/>
    </xf>
    <xf numFmtId="0" fontId="5" fillId="0" borderId="41" xfId="0" applyFont="1" applyBorder="1" applyAlignment="1">
      <alignment horizontal="center"/>
    </xf>
    <xf numFmtId="0" fontId="6" fillId="22" borderId="27" xfId="0" applyFont="1" applyFill="1" applyBorder="1"/>
    <xf numFmtId="0" fontId="7" fillId="22" borderId="30" xfId="0" applyFont="1" applyFill="1" applyBorder="1"/>
    <xf numFmtId="0" fontId="7" fillId="22" borderId="28" xfId="0" applyFont="1" applyFill="1" applyBorder="1"/>
    <xf numFmtId="0" fontId="5" fillId="0" borderId="13" xfId="0" applyFont="1" applyBorder="1" applyAlignment="1">
      <alignment horizontal="center"/>
    </xf>
    <xf numFmtId="0" fontId="0" fillId="22" borderId="27" xfId="0" applyFill="1" applyBorder="1" applyAlignment="1">
      <alignment horizontal="center"/>
    </xf>
    <xf numFmtId="0" fontId="6" fillId="22" borderId="30" xfId="0" applyFont="1" applyFill="1" applyBorder="1" applyAlignment="1">
      <alignment horizontal="center"/>
    </xf>
    <xf numFmtId="0" fontId="0" fillId="22" borderId="30" xfId="0" applyFill="1" applyBorder="1" applyAlignment="1">
      <alignment horizontal="center"/>
    </xf>
    <xf numFmtId="0" fontId="0" fillId="22" borderId="28" xfId="0" applyFill="1" applyBorder="1" applyAlignment="1">
      <alignment horizontal="center"/>
    </xf>
    <xf numFmtId="0" fontId="0" fillId="22" borderId="30" xfId="0" applyFill="1" applyBorder="1"/>
    <xf numFmtId="0" fontId="0" fillId="22" borderId="28" xfId="0" applyFill="1" applyBorder="1"/>
    <xf numFmtId="0" fontId="4" fillId="0" borderId="13" xfId="0" applyFont="1" applyBorder="1" applyAlignment="1">
      <alignment horizontal="center"/>
    </xf>
    <xf numFmtId="0" fontId="6" fillId="22" borderId="27" xfId="0" applyFont="1" applyFill="1" applyBorder="1" applyAlignment="1">
      <alignment horizontal="left"/>
    </xf>
    <xf numFmtId="0" fontId="7" fillId="22" borderId="30" xfId="0" applyFont="1" applyFill="1" applyBorder="1" applyAlignment="1">
      <alignment horizontal="center"/>
    </xf>
    <xf numFmtId="0" fontId="7" fillId="22" borderId="30" xfId="0" applyFont="1" applyFill="1" applyBorder="1" applyAlignment="1">
      <alignment horizontal="left"/>
    </xf>
    <xf numFmtId="0" fontId="7" fillId="22" borderId="28" xfId="0" applyFont="1" applyFill="1" applyBorder="1" applyAlignment="1">
      <alignment horizontal="left"/>
    </xf>
    <xf numFmtId="0" fontId="0" fillId="0" borderId="4" xfId="0" applyBorder="1" applyAlignment="1">
      <alignment horizontal="left"/>
    </xf>
    <xf numFmtId="4" fontId="0" fillId="0" borderId="13" xfId="0" applyNumberFormat="1" applyBorder="1" applyAlignment="1">
      <alignment horizontal="center"/>
    </xf>
    <xf numFmtId="0" fontId="0" fillId="0" borderId="15" xfId="0" applyBorder="1" applyAlignment="1">
      <alignment horizontal="left"/>
    </xf>
    <xf numFmtId="0" fontId="5" fillId="0" borderId="30" xfId="0" applyFont="1" applyBorder="1" applyAlignment="1">
      <alignment horizontal="center"/>
    </xf>
    <xf numFmtId="4" fontId="0" fillId="0" borderId="30" xfId="0" applyNumberFormat="1" applyBorder="1" applyAlignment="1">
      <alignment horizontal="center"/>
    </xf>
    <xf numFmtId="0" fontId="0" fillId="0" borderId="28" xfId="0" applyBorder="1" applyAlignment="1">
      <alignment horizontal="left"/>
    </xf>
    <xf numFmtId="0" fontId="0" fillId="0" borderId="3" xfId="0" applyBorder="1" applyAlignment="1">
      <alignment horizontal="center"/>
    </xf>
    <xf numFmtId="0" fontId="5" fillId="0" borderId="3" xfId="0" applyFont="1" applyBorder="1" applyAlignment="1">
      <alignment horizontal="center"/>
    </xf>
    <xf numFmtId="0" fontId="5" fillId="0" borderId="12" xfId="0" applyFont="1" applyBorder="1" applyAlignment="1">
      <alignment horizontal="center"/>
    </xf>
    <xf numFmtId="0" fontId="0" fillId="20" borderId="0" xfId="0" applyFill="1" applyBorder="1"/>
    <xf numFmtId="0" fontId="0" fillId="0" borderId="12" xfId="0" applyBorder="1" applyAlignment="1">
      <alignment horizontal="center"/>
    </xf>
  </cellXfs>
  <cellStyles count="1">
    <cellStyle name="Normal" xfId="0" builtinId="0"/>
  </cellStyles>
  <dxfs count="232">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000000"/>
        <name val="Calibri"/>
        <family val="2"/>
        <scheme val="none"/>
      </font>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rgb="FF000000"/>
        </left>
        <right style="thin">
          <color rgb="FF000000"/>
        </right>
        <top style="thin">
          <color rgb="FF000000"/>
        </top>
        <bottom style="thin">
          <color rgb="FF000000"/>
        </bottom>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QUARTERLY PASSENGERS PATTERN IN DUBLIN</a:t>
            </a:r>
          </a:p>
        </c:rich>
      </c:tx>
      <c:layout>
        <c:manualLayout>
          <c:xMode val="edge"/>
          <c:yMode val="edge"/>
          <c:x val="0.30115313553843104"/>
          <c:y val="8.328281550605069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420305287953269E-2"/>
          <c:y val="5.4167463191884868E-2"/>
          <c:w val="0.90480370407483712"/>
          <c:h val="0.83589631360920646"/>
        </c:manualLayout>
      </c:layout>
      <c:lineChart>
        <c:grouping val="standard"/>
        <c:varyColors val="0"/>
        <c:ser>
          <c:idx val="0"/>
          <c:order val="0"/>
          <c:tx>
            <c:strRef>
              <c:f>Chart!$B$1</c:f>
              <c:strCache>
                <c:ptCount val="1"/>
                <c:pt idx="0">
                  <c:v>Dublin</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Chart!$A$2:$A$55</c:f>
              <c:strCache>
                <c:ptCount val="54"/>
                <c:pt idx="0">
                  <c:v>2012Q1</c:v>
                </c:pt>
                <c:pt idx="1">
                  <c:v>2012Q2</c:v>
                </c:pt>
                <c:pt idx="2">
                  <c:v>2012Q3</c:v>
                </c:pt>
                <c:pt idx="3">
                  <c:v>2012Q4</c:v>
                </c:pt>
                <c:pt idx="4">
                  <c:v>2013Q1</c:v>
                </c:pt>
                <c:pt idx="5">
                  <c:v>2013Q2</c:v>
                </c:pt>
                <c:pt idx="6">
                  <c:v>2013Q3</c:v>
                </c:pt>
                <c:pt idx="7">
                  <c:v>2013Q4</c:v>
                </c:pt>
                <c:pt idx="8">
                  <c:v>2014Q1</c:v>
                </c:pt>
                <c:pt idx="9">
                  <c:v>2014Q2</c:v>
                </c:pt>
                <c:pt idx="10">
                  <c:v>2014Q3</c:v>
                </c:pt>
                <c:pt idx="11">
                  <c:v>2014Q4</c:v>
                </c:pt>
                <c:pt idx="12">
                  <c:v>2015Q1</c:v>
                </c:pt>
                <c:pt idx="13">
                  <c:v>2015Q2</c:v>
                </c:pt>
                <c:pt idx="14">
                  <c:v>2015Q3</c:v>
                </c:pt>
                <c:pt idx="15">
                  <c:v>2015Q4</c:v>
                </c:pt>
                <c:pt idx="16">
                  <c:v>2016Q1</c:v>
                </c:pt>
                <c:pt idx="17">
                  <c:v>2016Q2</c:v>
                </c:pt>
                <c:pt idx="18">
                  <c:v>2016Q3</c:v>
                </c:pt>
                <c:pt idx="19">
                  <c:v>2016Q4</c:v>
                </c:pt>
                <c:pt idx="20">
                  <c:v>2017Q1</c:v>
                </c:pt>
                <c:pt idx="21">
                  <c:v>2017Q2</c:v>
                </c:pt>
                <c:pt idx="22">
                  <c:v>2017Q3</c:v>
                </c:pt>
                <c:pt idx="23">
                  <c:v>2017Q4</c:v>
                </c:pt>
                <c:pt idx="24">
                  <c:v>2018Q1</c:v>
                </c:pt>
                <c:pt idx="25">
                  <c:v>2018Q2</c:v>
                </c:pt>
                <c:pt idx="26">
                  <c:v>2018Q3</c:v>
                </c:pt>
                <c:pt idx="27">
                  <c:v>2018Q4</c:v>
                </c:pt>
                <c:pt idx="28">
                  <c:v>2019Q1</c:v>
                </c:pt>
                <c:pt idx="29">
                  <c:v>2019Q2</c:v>
                </c:pt>
                <c:pt idx="30">
                  <c:v>2019Q3</c:v>
                </c:pt>
                <c:pt idx="31">
                  <c:v>2019Q4</c:v>
                </c:pt>
                <c:pt idx="32">
                  <c:v>2020Q1</c:v>
                </c:pt>
                <c:pt idx="33">
                  <c:v>2020Q2</c:v>
                </c:pt>
                <c:pt idx="34">
                  <c:v>2020Q3</c:v>
                </c:pt>
                <c:pt idx="35">
                  <c:v>2020Q4</c:v>
                </c:pt>
                <c:pt idx="36">
                  <c:v>2021Q1</c:v>
                </c:pt>
                <c:pt idx="37">
                  <c:v>2021Q2</c:v>
                </c:pt>
                <c:pt idx="38">
                  <c:v>2021Q3</c:v>
                </c:pt>
                <c:pt idx="39">
                  <c:v>2021Q4</c:v>
                </c:pt>
                <c:pt idx="40">
                  <c:v>2022Q1</c:v>
                </c:pt>
                <c:pt idx="41">
                  <c:v>2022Q2</c:v>
                </c:pt>
                <c:pt idx="42">
                  <c:v>2022Q3</c:v>
                </c:pt>
                <c:pt idx="43">
                  <c:v>2022Q4</c:v>
                </c:pt>
                <c:pt idx="44">
                  <c:v>2023Q1</c:v>
                </c:pt>
                <c:pt idx="45">
                  <c:v>2023Q2</c:v>
                </c:pt>
                <c:pt idx="46">
                  <c:v>2023Q3</c:v>
                </c:pt>
                <c:pt idx="47">
                  <c:v>2023Q4</c:v>
                </c:pt>
                <c:pt idx="48">
                  <c:v>2024Q1</c:v>
                </c:pt>
                <c:pt idx="49">
                  <c:v>2024Q2</c:v>
                </c:pt>
                <c:pt idx="50">
                  <c:v>2024Q3</c:v>
                </c:pt>
                <c:pt idx="51">
                  <c:v>2024Q4</c:v>
                </c:pt>
                <c:pt idx="52">
                  <c:v>2025Q1</c:v>
                </c:pt>
                <c:pt idx="53">
                  <c:v>2025Q2</c:v>
                </c:pt>
              </c:strCache>
            </c:strRef>
          </c:cat>
          <c:val>
            <c:numRef>
              <c:f>Chart!$B$2:$B$55</c:f>
              <c:numCache>
                <c:formatCode>General</c:formatCode>
                <c:ptCount val="54"/>
                <c:pt idx="0">
                  <c:v>3740432</c:v>
                </c:pt>
                <c:pt idx="1">
                  <c:v>5180478</c:v>
                </c:pt>
                <c:pt idx="2">
                  <c:v>5851043</c:v>
                </c:pt>
                <c:pt idx="3">
                  <c:v>4318828</c:v>
                </c:pt>
                <c:pt idx="4">
                  <c:v>3874988</c:v>
                </c:pt>
                <c:pt idx="5">
                  <c:v>5460037</c:v>
                </c:pt>
                <c:pt idx="6">
                  <c:v>6211891</c:v>
                </c:pt>
                <c:pt idx="7">
                  <c:v>4601658</c:v>
                </c:pt>
                <c:pt idx="8">
                  <c:v>4062698</c:v>
                </c:pt>
                <c:pt idx="9">
                  <c:v>5914826</c:v>
                </c:pt>
                <c:pt idx="10">
                  <c:v>6617238</c:v>
                </c:pt>
                <c:pt idx="11">
                  <c:v>5100131</c:v>
                </c:pt>
                <c:pt idx="12">
                  <c:v>4740924</c:v>
                </c:pt>
                <c:pt idx="13">
                  <c:v>6733056</c:v>
                </c:pt>
                <c:pt idx="14">
                  <c:v>7621339</c:v>
                </c:pt>
                <c:pt idx="15">
                  <c:v>5867199</c:v>
                </c:pt>
                <c:pt idx="16">
                  <c:v>5534979</c:v>
                </c:pt>
                <c:pt idx="17">
                  <c:v>7415559</c:v>
                </c:pt>
                <c:pt idx="18">
                  <c:v>8361602</c:v>
                </c:pt>
                <c:pt idx="19">
                  <c:v>6466748</c:v>
                </c:pt>
                <c:pt idx="20">
                  <c:v>5795278</c:v>
                </c:pt>
                <c:pt idx="21">
                  <c:v>7960058</c:v>
                </c:pt>
                <c:pt idx="22">
                  <c:v>8893941</c:v>
                </c:pt>
                <c:pt idx="23">
                  <c:v>6805197</c:v>
                </c:pt>
                <c:pt idx="24">
                  <c:v>6037482</c:v>
                </c:pt>
                <c:pt idx="25">
                  <c:v>8558244</c:v>
                </c:pt>
                <c:pt idx="26">
                  <c:v>9430981</c:v>
                </c:pt>
                <c:pt idx="27">
                  <c:v>7292712</c:v>
                </c:pt>
                <c:pt idx="28">
                  <c:v>6480314</c:v>
                </c:pt>
                <c:pt idx="29">
                  <c:v>8957586</c:v>
                </c:pt>
                <c:pt idx="30">
                  <c:v>9852369</c:v>
                </c:pt>
                <c:pt idx="31">
                  <c:v>7385982</c:v>
                </c:pt>
                <c:pt idx="32">
                  <c:v>5139128</c:v>
                </c:pt>
                <c:pt idx="33">
                  <c:v>155592</c:v>
                </c:pt>
                <c:pt idx="34">
                  <c:v>1270411</c:v>
                </c:pt>
                <c:pt idx="35">
                  <c:v>702109</c:v>
                </c:pt>
                <c:pt idx="36">
                  <c:v>405112</c:v>
                </c:pt>
                <c:pt idx="37">
                  <c:v>554749</c:v>
                </c:pt>
                <c:pt idx="38">
                  <c:v>3202834</c:v>
                </c:pt>
                <c:pt idx="39">
                  <c:v>4103576</c:v>
                </c:pt>
                <c:pt idx="40">
                  <c:v>4099571</c:v>
                </c:pt>
                <c:pt idx="41">
                  <c:v>7779695</c:v>
                </c:pt>
                <c:pt idx="42">
                  <c:v>8840733</c:v>
                </c:pt>
                <c:pt idx="43">
                  <c:v>7073346</c:v>
                </c:pt>
                <c:pt idx="44">
                  <c:v>6589966</c:v>
                </c:pt>
                <c:pt idx="45">
                  <c:v>9058940</c:v>
                </c:pt>
                <c:pt idx="46">
                  <c:v>9929211</c:v>
                </c:pt>
                <c:pt idx="47">
                  <c:v>7684824</c:v>
                </c:pt>
                <c:pt idx="48">
                  <c:v>7025552</c:v>
                </c:pt>
                <c:pt idx="49">
                  <c:v>9479228</c:v>
                </c:pt>
                <c:pt idx="50">
                  <c:v>10369522</c:v>
                </c:pt>
                <c:pt idx="51">
                  <c:v>7748958</c:v>
                </c:pt>
                <c:pt idx="52">
                  <c:v>6933757</c:v>
                </c:pt>
                <c:pt idx="53">
                  <c:v>10017651</c:v>
                </c:pt>
              </c:numCache>
            </c:numRef>
          </c:val>
          <c:smooth val="0"/>
          <c:extLst>
            <c:ext xmlns:c16="http://schemas.microsoft.com/office/drawing/2014/chart" uri="{C3380CC4-5D6E-409C-BE32-E72D297353CC}">
              <c16:uniqueId val="{00000000-018C-4231-9B5A-3CF07B27409D}"/>
            </c:ext>
          </c:extLst>
        </c:ser>
        <c:dLbls>
          <c:showLegendKey val="0"/>
          <c:showVal val="0"/>
          <c:showCatName val="0"/>
          <c:showSerName val="0"/>
          <c:showPercent val="0"/>
          <c:showBubbleSize val="0"/>
        </c:dLbls>
        <c:marker val="1"/>
        <c:smooth val="0"/>
        <c:axId val="520306847"/>
        <c:axId val="530790447"/>
      </c:lineChart>
      <c:catAx>
        <c:axId val="5203068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30790447"/>
        <c:crosses val="autoZero"/>
        <c:auto val="1"/>
        <c:lblAlgn val="ctr"/>
        <c:lblOffset val="100"/>
        <c:noMultiLvlLbl val="0"/>
      </c:catAx>
      <c:valAx>
        <c:axId val="53079044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30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QUARTERLY PASSENGERS PATTERN IN OTHER AIRPORTS</a:t>
            </a:r>
          </a:p>
        </c:rich>
      </c:tx>
      <c:layout>
        <c:manualLayout>
          <c:xMode val="edge"/>
          <c:yMode val="edge"/>
          <c:x val="0.24261428866704185"/>
          <c:y val="0.1138666571030629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Chart!$C$1</c:f>
              <c:strCache>
                <c:ptCount val="1"/>
                <c:pt idx="0">
                  <c:v>Cork</c:v>
                </c:pt>
              </c:strCache>
            </c:strRef>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Ref>
              <c:f>Chart!$A$2:$A$55</c:f>
              <c:strCache>
                <c:ptCount val="54"/>
                <c:pt idx="0">
                  <c:v>2012Q1</c:v>
                </c:pt>
                <c:pt idx="1">
                  <c:v>2012Q2</c:v>
                </c:pt>
                <c:pt idx="2">
                  <c:v>2012Q3</c:v>
                </c:pt>
                <c:pt idx="3">
                  <c:v>2012Q4</c:v>
                </c:pt>
                <c:pt idx="4">
                  <c:v>2013Q1</c:v>
                </c:pt>
                <c:pt idx="5">
                  <c:v>2013Q2</c:v>
                </c:pt>
                <c:pt idx="6">
                  <c:v>2013Q3</c:v>
                </c:pt>
                <c:pt idx="7">
                  <c:v>2013Q4</c:v>
                </c:pt>
                <c:pt idx="8">
                  <c:v>2014Q1</c:v>
                </c:pt>
                <c:pt idx="9">
                  <c:v>2014Q2</c:v>
                </c:pt>
                <c:pt idx="10">
                  <c:v>2014Q3</c:v>
                </c:pt>
                <c:pt idx="11">
                  <c:v>2014Q4</c:v>
                </c:pt>
                <c:pt idx="12">
                  <c:v>2015Q1</c:v>
                </c:pt>
                <c:pt idx="13">
                  <c:v>2015Q2</c:v>
                </c:pt>
                <c:pt idx="14">
                  <c:v>2015Q3</c:v>
                </c:pt>
                <c:pt idx="15">
                  <c:v>2015Q4</c:v>
                </c:pt>
                <c:pt idx="16">
                  <c:v>2016Q1</c:v>
                </c:pt>
                <c:pt idx="17">
                  <c:v>2016Q2</c:v>
                </c:pt>
                <c:pt idx="18">
                  <c:v>2016Q3</c:v>
                </c:pt>
                <c:pt idx="19">
                  <c:v>2016Q4</c:v>
                </c:pt>
                <c:pt idx="20">
                  <c:v>2017Q1</c:v>
                </c:pt>
                <c:pt idx="21">
                  <c:v>2017Q2</c:v>
                </c:pt>
                <c:pt idx="22">
                  <c:v>2017Q3</c:v>
                </c:pt>
                <c:pt idx="23">
                  <c:v>2017Q4</c:v>
                </c:pt>
                <c:pt idx="24">
                  <c:v>2018Q1</c:v>
                </c:pt>
                <c:pt idx="25">
                  <c:v>2018Q2</c:v>
                </c:pt>
                <c:pt idx="26">
                  <c:v>2018Q3</c:v>
                </c:pt>
                <c:pt idx="27">
                  <c:v>2018Q4</c:v>
                </c:pt>
                <c:pt idx="28">
                  <c:v>2019Q1</c:v>
                </c:pt>
                <c:pt idx="29">
                  <c:v>2019Q2</c:v>
                </c:pt>
                <c:pt idx="30">
                  <c:v>2019Q3</c:v>
                </c:pt>
                <c:pt idx="31">
                  <c:v>2019Q4</c:v>
                </c:pt>
                <c:pt idx="32">
                  <c:v>2020Q1</c:v>
                </c:pt>
                <c:pt idx="33">
                  <c:v>2020Q2</c:v>
                </c:pt>
                <c:pt idx="34">
                  <c:v>2020Q3</c:v>
                </c:pt>
                <c:pt idx="35">
                  <c:v>2020Q4</c:v>
                </c:pt>
                <c:pt idx="36">
                  <c:v>2021Q1</c:v>
                </c:pt>
                <c:pt idx="37">
                  <c:v>2021Q2</c:v>
                </c:pt>
                <c:pt idx="38">
                  <c:v>2021Q3</c:v>
                </c:pt>
                <c:pt idx="39">
                  <c:v>2021Q4</c:v>
                </c:pt>
                <c:pt idx="40">
                  <c:v>2022Q1</c:v>
                </c:pt>
                <c:pt idx="41">
                  <c:v>2022Q2</c:v>
                </c:pt>
                <c:pt idx="42">
                  <c:v>2022Q3</c:v>
                </c:pt>
                <c:pt idx="43">
                  <c:v>2022Q4</c:v>
                </c:pt>
                <c:pt idx="44">
                  <c:v>2023Q1</c:v>
                </c:pt>
                <c:pt idx="45">
                  <c:v>2023Q2</c:v>
                </c:pt>
                <c:pt idx="46">
                  <c:v>2023Q3</c:v>
                </c:pt>
                <c:pt idx="47">
                  <c:v>2023Q4</c:v>
                </c:pt>
                <c:pt idx="48">
                  <c:v>2024Q1</c:v>
                </c:pt>
                <c:pt idx="49">
                  <c:v>2024Q2</c:v>
                </c:pt>
                <c:pt idx="50">
                  <c:v>2024Q3</c:v>
                </c:pt>
                <c:pt idx="51">
                  <c:v>2024Q4</c:v>
                </c:pt>
                <c:pt idx="52">
                  <c:v>2025Q1</c:v>
                </c:pt>
                <c:pt idx="53">
                  <c:v>2025Q2</c:v>
                </c:pt>
              </c:strCache>
            </c:strRef>
          </c:cat>
          <c:val>
            <c:numRef>
              <c:f>Chart!$C$2:$C$55</c:f>
              <c:numCache>
                <c:formatCode>General</c:formatCode>
                <c:ptCount val="54"/>
                <c:pt idx="0">
                  <c:v>432766</c:v>
                </c:pt>
                <c:pt idx="1">
                  <c:v>648839</c:v>
                </c:pt>
                <c:pt idx="2">
                  <c:v>754985</c:v>
                </c:pt>
                <c:pt idx="3">
                  <c:v>497053</c:v>
                </c:pt>
                <c:pt idx="4">
                  <c:v>436568</c:v>
                </c:pt>
                <c:pt idx="5">
                  <c:v>634674</c:v>
                </c:pt>
                <c:pt idx="6">
                  <c:v>713739</c:v>
                </c:pt>
                <c:pt idx="7">
                  <c:v>467655</c:v>
                </c:pt>
                <c:pt idx="8">
                  <c:v>400785</c:v>
                </c:pt>
                <c:pt idx="9">
                  <c:v>610996</c:v>
                </c:pt>
                <c:pt idx="10">
                  <c:v>685538</c:v>
                </c:pt>
                <c:pt idx="11">
                  <c:v>440738</c:v>
                </c:pt>
                <c:pt idx="12">
                  <c:v>379553</c:v>
                </c:pt>
                <c:pt idx="13">
                  <c:v>580130</c:v>
                </c:pt>
                <c:pt idx="14">
                  <c:v>653801</c:v>
                </c:pt>
                <c:pt idx="15">
                  <c:v>452194</c:v>
                </c:pt>
                <c:pt idx="16">
                  <c:v>419334</c:v>
                </c:pt>
                <c:pt idx="17">
                  <c:v>625599</c:v>
                </c:pt>
                <c:pt idx="18">
                  <c:v>706690</c:v>
                </c:pt>
                <c:pt idx="19">
                  <c:v>474610</c:v>
                </c:pt>
                <c:pt idx="20">
                  <c:v>418458</c:v>
                </c:pt>
                <c:pt idx="21">
                  <c:v>637491</c:v>
                </c:pt>
                <c:pt idx="22">
                  <c:v>752138</c:v>
                </c:pt>
                <c:pt idx="23">
                  <c:v>493363</c:v>
                </c:pt>
                <c:pt idx="24">
                  <c:v>428618</c:v>
                </c:pt>
                <c:pt idx="25">
                  <c:v>665643</c:v>
                </c:pt>
                <c:pt idx="26">
                  <c:v>773012</c:v>
                </c:pt>
                <c:pt idx="27">
                  <c:v>520533</c:v>
                </c:pt>
                <c:pt idx="28">
                  <c:v>474297</c:v>
                </c:pt>
                <c:pt idx="29">
                  <c:v>728548</c:v>
                </c:pt>
                <c:pt idx="30">
                  <c:v>832198</c:v>
                </c:pt>
                <c:pt idx="31">
                  <c:v>550423</c:v>
                </c:pt>
                <c:pt idx="32">
                  <c:v>397387</c:v>
                </c:pt>
                <c:pt idx="33">
                  <c:v>7879</c:v>
                </c:pt>
                <c:pt idx="34">
                  <c:v>90287</c:v>
                </c:pt>
                <c:pt idx="35">
                  <c:v>31461</c:v>
                </c:pt>
                <c:pt idx="36">
                  <c:v>8926</c:v>
                </c:pt>
                <c:pt idx="37">
                  <c:v>24931</c:v>
                </c:pt>
                <c:pt idx="38">
                  <c:v>133809</c:v>
                </c:pt>
                <c:pt idx="39">
                  <c:v>87349</c:v>
                </c:pt>
                <c:pt idx="40">
                  <c:v>288323</c:v>
                </c:pt>
                <c:pt idx="41">
                  <c:v>645215</c:v>
                </c:pt>
                <c:pt idx="42">
                  <c:v>767806</c:v>
                </c:pt>
                <c:pt idx="43">
                  <c:v>537111</c:v>
                </c:pt>
                <c:pt idx="44">
                  <c:v>499021</c:v>
                </c:pt>
                <c:pt idx="45">
                  <c:v>791720</c:v>
                </c:pt>
                <c:pt idx="46">
                  <c:v>866942</c:v>
                </c:pt>
                <c:pt idx="47">
                  <c:v>640341</c:v>
                </c:pt>
                <c:pt idx="48">
                  <c:v>601989</c:v>
                </c:pt>
                <c:pt idx="49">
                  <c:v>832446</c:v>
                </c:pt>
                <c:pt idx="50">
                  <c:v>963202</c:v>
                </c:pt>
                <c:pt idx="51">
                  <c:v>670812</c:v>
                </c:pt>
                <c:pt idx="52">
                  <c:v>648356</c:v>
                </c:pt>
                <c:pt idx="53">
                  <c:v>993437</c:v>
                </c:pt>
              </c:numCache>
            </c:numRef>
          </c:val>
          <c:smooth val="0"/>
          <c:extLst>
            <c:ext xmlns:c16="http://schemas.microsoft.com/office/drawing/2014/chart" uri="{C3380CC4-5D6E-409C-BE32-E72D297353CC}">
              <c16:uniqueId val="{00000000-EA94-4222-AECB-906028696269}"/>
            </c:ext>
          </c:extLst>
        </c:ser>
        <c:ser>
          <c:idx val="1"/>
          <c:order val="1"/>
          <c:tx>
            <c:strRef>
              <c:f>Chart!$D$1</c:f>
              <c:strCache>
                <c:ptCount val="1"/>
                <c:pt idx="0">
                  <c:v>Kerry</c:v>
                </c:pt>
              </c:strCache>
            </c:strRef>
          </c:tx>
          <c:spPr>
            <a:ln w="22225" cap="rnd">
              <a:solidFill>
                <a:schemeClr val="accent4"/>
              </a:solidFill>
              <a:round/>
            </a:ln>
            <a:effectLst/>
          </c:spPr>
          <c:marker>
            <c:symbol val="square"/>
            <c:size val="6"/>
            <c:spPr>
              <a:solidFill>
                <a:schemeClr val="accent4"/>
              </a:solidFill>
              <a:ln w="9525">
                <a:solidFill>
                  <a:schemeClr val="accent4"/>
                </a:solidFill>
                <a:round/>
              </a:ln>
              <a:effectLst/>
            </c:spPr>
          </c:marker>
          <c:cat>
            <c:strRef>
              <c:f>Chart!$A$2:$A$55</c:f>
              <c:strCache>
                <c:ptCount val="54"/>
                <c:pt idx="0">
                  <c:v>2012Q1</c:v>
                </c:pt>
                <c:pt idx="1">
                  <c:v>2012Q2</c:v>
                </c:pt>
                <c:pt idx="2">
                  <c:v>2012Q3</c:v>
                </c:pt>
                <c:pt idx="3">
                  <c:v>2012Q4</c:v>
                </c:pt>
                <c:pt idx="4">
                  <c:v>2013Q1</c:v>
                </c:pt>
                <c:pt idx="5">
                  <c:v>2013Q2</c:v>
                </c:pt>
                <c:pt idx="6">
                  <c:v>2013Q3</c:v>
                </c:pt>
                <c:pt idx="7">
                  <c:v>2013Q4</c:v>
                </c:pt>
                <c:pt idx="8">
                  <c:v>2014Q1</c:v>
                </c:pt>
                <c:pt idx="9">
                  <c:v>2014Q2</c:v>
                </c:pt>
                <c:pt idx="10">
                  <c:v>2014Q3</c:v>
                </c:pt>
                <c:pt idx="11">
                  <c:v>2014Q4</c:v>
                </c:pt>
                <c:pt idx="12">
                  <c:v>2015Q1</c:v>
                </c:pt>
                <c:pt idx="13">
                  <c:v>2015Q2</c:v>
                </c:pt>
                <c:pt idx="14">
                  <c:v>2015Q3</c:v>
                </c:pt>
                <c:pt idx="15">
                  <c:v>2015Q4</c:v>
                </c:pt>
                <c:pt idx="16">
                  <c:v>2016Q1</c:v>
                </c:pt>
                <c:pt idx="17">
                  <c:v>2016Q2</c:v>
                </c:pt>
                <c:pt idx="18">
                  <c:v>2016Q3</c:v>
                </c:pt>
                <c:pt idx="19">
                  <c:v>2016Q4</c:v>
                </c:pt>
                <c:pt idx="20">
                  <c:v>2017Q1</c:v>
                </c:pt>
                <c:pt idx="21">
                  <c:v>2017Q2</c:v>
                </c:pt>
                <c:pt idx="22">
                  <c:v>2017Q3</c:v>
                </c:pt>
                <c:pt idx="23">
                  <c:v>2017Q4</c:v>
                </c:pt>
                <c:pt idx="24">
                  <c:v>2018Q1</c:v>
                </c:pt>
                <c:pt idx="25">
                  <c:v>2018Q2</c:v>
                </c:pt>
                <c:pt idx="26">
                  <c:v>2018Q3</c:v>
                </c:pt>
                <c:pt idx="27">
                  <c:v>2018Q4</c:v>
                </c:pt>
                <c:pt idx="28">
                  <c:v>2019Q1</c:v>
                </c:pt>
                <c:pt idx="29">
                  <c:v>2019Q2</c:v>
                </c:pt>
                <c:pt idx="30">
                  <c:v>2019Q3</c:v>
                </c:pt>
                <c:pt idx="31">
                  <c:v>2019Q4</c:v>
                </c:pt>
                <c:pt idx="32">
                  <c:v>2020Q1</c:v>
                </c:pt>
                <c:pt idx="33">
                  <c:v>2020Q2</c:v>
                </c:pt>
                <c:pt idx="34">
                  <c:v>2020Q3</c:v>
                </c:pt>
                <c:pt idx="35">
                  <c:v>2020Q4</c:v>
                </c:pt>
                <c:pt idx="36">
                  <c:v>2021Q1</c:v>
                </c:pt>
                <c:pt idx="37">
                  <c:v>2021Q2</c:v>
                </c:pt>
                <c:pt idx="38">
                  <c:v>2021Q3</c:v>
                </c:pt>
                <c:pt idx="39">
                  <c:v>2021Q4</c:v>
                </c:pt>
                <c:pt idx="40">
                  <c:v>2022Q1</c:v>
                </c:pt>
                <c:pt idx="41">
                  <c:v>2022Q2</c:v>
                </c:pt>
                <c:pt idx="42">
                  <c:v>2022Q3</c:v>
                </c:pt>
                <c:pt idx="43">
                  <c:v>2022Q4</c:v>
                </c:pt>
                <c:pt idx="44">
                  <c:v>2023Q1</c:v>
                </c:pt>
                <c:pt idx="45">
                  <c:v>2023Q2</c:v>
                </c:pt>
                <c:pt idx="46">
                  <c:v>2023Q3</c:v>
                </c:pt>
                <c:pt idx="47">
                  <c:v>2023Q4</c:v>
                </c:pt>
                <c:pt idx="48">
                  <c:v>2024Q1</c:v>
                </c:pt>
                <c:pt idx="49">
                  <c:v>2024Q2</c:v>
                </c:pt>
                <c:pt idx="50">
                  <c:v>2024Q3</c:v>
                </c:pt>
                <c:pt idx="51">
                  <c:v>2024Q4</c:v>
                </c:pt>
                <c:pt idx="52">
                  <c:v>2025Q1</c:v>
                </c:pt>
                <c:pt idx="53">
                  <c:v>2025Q2</c:v>
                </c:pt>
              </c:strCache>
            </c:strRef>
          </c:cat>
          <c:val>
            <c:numRef>
              <c:f>Chart!$D$2:$D$55</c:f>
              <c:numCache>
                <c:formatCode>General</c:formatCode>
                <c:ptCount val="54"/>
                <c:pt idx="0">
                  <c:v>49557</c:v>
                </c:pt>
                <c:pt idx="1">
                  <c:v>81536</c:v>
                </c:pt>
                <c:pt idx="2">
                  <c:v>90438</c:v>
                </c:pt>
                <c:pt idx="3">
                  <c:v>64911</c:v>
                </c:pt>
                <c:pt idx="4">
                  <c:v>50391</c:v>
                </c:pt>
                <c:pt idx="5">
                  <c:v>89225</c:v>
                </c:pt>
                <c:pt idx="6">
                  <c:v>100314</c:v>
                </c:pt>
                <c:pt idx="7">
                  <c:v>66112</c:v>
                </c:pt>
                <c:pt idx="8">
                  <c:v>45956</c:v>
                </c:pt>
                <c:pt idx="9">
                  <c:v>84394</c:v>
                </c:pt>
                <c:pt idx="10">
                  <c:v>96963</c:v>
                </c:pt>
                <c:pt idx="11">
                  <c:v>67642</c:v>
                </c:pt>
                <c:pt idx="12">
                  <c:v>46806</c:v>
                </c:pt>
                <c:pt idx="13">
                  <c:v>88309</c:v>
                </c:pt>
                <c:pt idx="14">
                  <c:v>99683</c:v>
                </c:pt>
                <c:pt idx="15">
                  <c:v>68241</c:v>
                </c:pt>
                <c:pt idx="16">
                  <c:v>58771</c:v>
                </c:pt>
                <c:pt idx="17">
                  <c:v>91072</c:v>
                </c:pt>
                <c:pt idx="18">
                  <c:v>104956</c:v>
                </c:pt>
                <c:pt idx="19">
                  <c:v>70871</c:v>
                </c:pt>
                <c:pt idx="20">
                  <c:v>59034</c:v>
                </c:pt>
                <c:pt idx="21">
                  <c:v>98536</c:v>
                </c:pt>
                <c:pt idx="22">
                  <c:v>102166</c:v>
                </c:pt>
                <c:pt idx="23">
                  <c:v>75744</c:v>
                </c:pt>
                <c:pt idx="24">
                  <c:v>65439</c:v>
                </c:pt>
                <c:pt idx="25">
                  <c:v>103617</c:v>
                </c:pt>
                <c:pt idx="26">
                  <c:v>114010</c:v>
                </c:pt>
                <c:pt idx="27">
                  <c:v>82273</c:v>
                </c:pt>
                <c:pt idx="28">
                  <c:v>68606</c:v>
                </c:pt>
                <c:pt idx="29">
                  <c:v>102534</c:v>
                </c:pt>
                <c:pt idx="30">
                  <c:v>116018</c:v>
                </c:pt>
                <c:pt idx="31">
                  <c:v>82678</c:v>
                </c:pt>
                <c:pt idx="32">
                  <c:v>55763</c:v>
                </c:pt>
                <c:pt idx="33">
                  <c:v>808</c:v>
                </c:pt>
                <c:pt idx="34">
                  <c:v>19968</c:v>
                </c:pt>
                <c:pt idx="35">
                  <c:v>6420</c:v>
                </c:pt>
                <c:pt idx="36">
                  <c:v>1988</c:v>
                </c:pt>
                <c:pt idx="37">
                  <c:v>4301</c:v>
                </c:pt>
                <c:pt idx="38">
                  <c:v>45426</c:v>
                </c:pt>
                <c:pt idx="39">
                  <c:v>63683</c:v>
                </c:pt>
                <c:pt idx="40">
                  <c:v>44836</c:v>
                </c:pt>
                <c:pt idx="41">
                  <c:v>102093</c:v>
                </c:pt>
                <c:pt idx="42">
                  <c:v>118069</c:v>
                </c:pt>
                <c:pt idx="43">
                  <c:v>90045</c:v>
                </c:pt>
                <c:pt idx="44">
                  <c:v>72347</c:v>
                </c:pt>
                <c:pt idx="45">
                  <c:v>117608</c:v>
                </c:pt>
                <c:pt idx="46">
                  <c:v>133729</c:v>
                </c:pt>
                <c:pt idx="47">
                  <c:v>90887</c:v>
                </c:pt>
                <c:pt idx="48">
                  <c:v>71277</c:v>
                </c:pt>
                <c:pt idx="49">
                  <c:v>113094</c:v>
                </c:pt>
                <c:pt idx="50">
                  <c:v>135505</c:v>
                </c:pt>
                <c:pt idx="51">
                  <c:v>92158</c:v>
                </c:pt>
                <c:pt idx="52">
                  <c:v>72175</c:v>
                </c:pt>
                <c:pt idx="53">
                  <c:v>126964</c:v>
                </c:pt>
              </c:numCache>
            </c:numRef>
          </c:val>
          <c:smooth val="0"/>
          <c:extLst>
            <c:ext xmlns:c16="http://schemas.microsoft.com/office/drawing/2014/chart" uri="{C3380CC4-5D6E-409C-BE32-E72D297353CC}">
              <c16:uniqueId val="{00000001-EA94-4222-AECB-906028696269}"/>
            </c:ext>
          </c:extLst>
        </c:ser>
        <c:ser>
          <c:idx val="2"/>
          <c:order val="2"/>
          <c:tx>
            <c:strRef>
              <c:f>Chart!$E$1</c:f>
              <c:strCache>
                <c:ptCount val="1"/>
                <c:pt idx="0">
                  <c:v>Knock</c:v>
                </c:pt>
              </c:strCache>
            </c:strRef>
          </c:tx>
          <c:spPr>
            <a:ln w="22225" cap="rnd">
              <a:solidFill>
                <a:schemeClr val="accent6"/>
              </a:solidFill>
              <a:round/>
            </a:ln>
            <a:effectLst/>
          </c:spPr>
          <c:marker>
            <c:symbol val="triangle"/>
            <c:size val="6"/>
            <c:spPr>
              <a:solidFill>
                <a:schemeClr val="accent6"/>
              </a:solidFill>
              <a:ln w="9525">
                <a:solidFill>
                  <a:schemeClr val="accent6"/>
                </a:solidFill>
                <a:round/>
              </a:ln>
              <a:effectLst/>
            </c:spPr>
          </c:marker>
          <c:cat>
            <c:strRef>
              <c:f>Chart!$A$2:$A$55</c:f>
              <c:strCache>
                <c:ptCount val="54"/>
                <c:pt idx="0">
                  <c:v>2012Q1</c:v>
                </c:pt>
                <c:pt idx="1">
                  <c:v>2012Q2</c:v>
                </c:pt>
                <c:pt idx="2">
                  <c:v>2012Q3</c:v>
                </c:pt>
                <c:pt idx="3">
                  <c:v>2012Q4</c:v>
                </c:pt>
                <c:pt idx="4">
                  <c:v>2013Q1</c:v>
                </c:pt>
                <c:pt idx="5">
                  <c:v>2013Q2</c:v>
                </c:pt>
                <c:pt idx="6">
                  <c:v>2013Q3</c:v>
                </c:pt>
                <c:pt idx="7">
                  <c:v>2013Q4</c:v>
                </c:pt>
                <c:pt idx="8">
                  <c:v>2014Q1</c:v>
                </c:pt>
                <c:pt idx="9">
                  <c:v>2014Q2</c:v>
                </c:pt>
                <c:pt idx="10">
                  <c:v>2014Q3</c:v>
                </c:pt>
                <c:pt idx="11">
                  <c:v>2014Q4</c:v>
                </c:pt>
                <c:pt idx="12">
                  <c:v>2015Q1</c:v>
                </c:pt>
                <c:pt idx="13">
                  <c:v>2015Q2</c:v>
                </c:pt>
                <c:pt idx="14">
                  <c:v>2015Q3</c:v>
                </c:pt>
                <c:pt idx="15">
                  <c:v>2015Q4</c:v>
                </c:pt>
                <c:pt idx="16">
                  <c:v>2016Q1</c:v>
                </c:pt>
                <c:pt idx="17">
                  <c:v>2016Q2</c:v>
                </c:pt>
                <c:pt idx="18">
                  <c:v>2016Q3</c:v>
                </c:pt>
                <c:pt idx="19">
                  <c:v>2016Q4</c:v>
                </c:pt>
                <c:pt idx="20">
                  <c:v>2017Q1</c:v>
                </c:pt>
                <c:pt idx="21">
                  <c:v>2017Q2</c:v>
                </c:pt>
                <c:pt idx="22">
                  <c:v>2017Q3</c:v>
                </c:pt>
                <c:pt idx="23">
                  <c:v>2017Q4</c:v>
                </c:pt>
                <c:pt idx="24">
                  <c:v>2018Q1</c:v>
                </c:pt>
                <c:pt idx="25">
                  <c:v>2018Q2</c:v>
                </c:pt>
                <c:pt idx="26">
                  <c:v>2018Q3</c:v>
                </c:pt>
                <c:pt idx="27">
                  <c:v>2018Q4</c:v>
                </c:pt>
                <c:pt idx="28">
                  <c:v>2019Q1</c:v>
                </c:pt>
                <c:pt idx="29">
                  <c:v>2019Q2</c:v>
                </c:pt>
                <c:pt idx="30">
                  <c:v>2019Q3</c:v>
                </c:pt>
                <c:pt idx="31">
                  <c:v>2019Q4</c:v>
                </c:pt>
                <c:pt idx="32">
                  <c:v>2020Q1</c:v>
                </c:pt>
                <c:pt idx="33">
                  <c:v>2020Q2</c:v>
                </c:pt>
                <c:pt idx="34">
                  <c:v>2020Q3</c:v>
                </c:pt>
                <c:pt idx="35">
                  <c:v>2020Q4</c:v>
                </c:pt>
                <c:pt idx="36">
                  <c:v>2021Q1</c:v>
                </c:pt>
                <c:pt idx="37">
                  <c:v>2021Q2</c:v>
                </c:pt>
                <c:pt idx="38">
                  <c:v>2021Q3</c:v>
                </c:pt>
                <c:pt idx="39">
                  <c:v>2021Q4</c:v>
                </c:pt>
                <c:pt idx="40">
                  <c:v>2022Q1</c:v>
                </c:pt>
                <c:pt idx="41">
                  <c:v>2022Q2</c:v>
                </c:pt>
                <c:pt idx="42">
                  <c:v>2022Q3</c:v>
                </c:pt>
                <c:pt idx="43">
                  <c:v>2022Q4</c:v>
                </c:pt>
                <c:pt idx="44">
                  <c:v>2023Q1</c:v>
                </c:pt>
                <c:pt idx="45">
                  <c:v>2023Q2</c:v>
                </c:pt>
                <c:pt idx="46">
                  <c:v>2023Q3</c:v>
                </c:pt>
                <c:pt idx="47">
                  <c:v>2023Q4</c:v>
                </c:pt>
                <c:pt idx="48">
                  <c:v>2024Q1</c:v>
                </c:pt>
                <c:pt idx="49">
                  <c:v>2024Q2</c:v>
                </c:pt>
                <c:pt idx="50">
                  <c:v>2024Q3</c:v>
                </c:pt>
                <c:pt idx="51">
                  <c:v>2024Q4</c:v>
                </c:pt>
                <c:pt idx="52">
                  <c:v>2025Q1</c:v>
                </c:pt>
                <c:pt idx="53">
                  <c:v>2025Q2</c:v>
                </c:pt>
              </c:strCache>
            </c:strRef>
          </c:cat>
          <c:val>
            <c:numRef>
              <c:f>Chart!$E$2:$E$55</c:f>
              <c:numCache>
                <c:formatCode>General</c:formatCode>
                <c:ptCount val="54"/>
                <c:pt idx="0">
                  <c:v>3</c:v>
                </c:pt>
                <c:pt idx="1">
                  <c:v>621</c:v>
                </c:pt>
                <c:pt idx="2">
                  <c:v>2079</c:v>
                </c:pt>
                <c:pt idx="3">
                  <c:v>7048</c:v>
                </c:pt>
                <c:pt idx="4">
                  <c:v>27513</c:v>
                </c:pt>
                <c:pt idx="5">
                  <c:v>69145</c:v>
                </c:pt>
                <c:pt idx="6">
                  <c:v>86381</c:v>
                </c:pt>
                <c:pt idx="7">
                  <c:v>100116</c:v>
                </c:pt>
                <c:pt idx="8">
                  <c:v>102186</c:v>
                </c:pt>
                <c:pt idx="9">
                  <c:v>107936</c:v>
                </c:pt>
                <c:pt idx="10">
                  <c:v>107971</c:v>
                </c:pt>
                <c:pt idx="11">
                  <c:v>110780</c:v>
                </c:pt>
                <c:pt idx="12">
                  <c:v>113413</c:v>
                </c:pt>
                <c:pt idx="13">
                  <c:v>123034</c:v>
                </c:pt>
                <c:pt idx="14">
                  <c:v>131234</c:v>
                </c:pt>
                <c:pt idx="15">
                  <c:v>132657</c:v>
                </c:pt>
                <c:pt idx="16">
                  <c:v>134221</c:v>
                </c:pt>
                <c:pt idx="17">
                  <c:v>137889</c:v>
                </c:pt>
                <c:pt idx="18">
                  <c:v>139708</c:v>
                </c:pt>
                <c:pt idx="19">
                  <c:v>142569</c:v>
                </c:pt>
                <c:pt idx="20">
                  <c:v>143805</c:v>
                </c:pt>
                <c:pt idx="21">
                  <c:v>144910</c:v>
                </c:pt>
                <c:pt idx="22">
                  <c:v>158563</c:v>
                </c:pt>
                <c:pt idx="23">
                  <c:v>158595</c:v>
                </c:pt>
                <c:pt idx="24">
                  <c:v>160780</c:v>
                </c:pt>
                <c:pt idx="25">
                  <c:v>168444</c:v>
                </c:pt>
                <c:pt idx="26">
                  <c:v>170516</c:v>
                </c:pt>
                <c:pt idx="27">
                  <c:v>170536</c:v>
                </c:pt>
                <c:pt idx="28">
                  <c:v>180453</c:v>
                </c:pt>
                <c:pt idx="29">
                  <c:v>182254</c:v>
                </c:pt>
                <c:pt idx="30">
                  <c:v>189501</c:v>
                </c:pt>
                <c:pt idx="31">
                  <c:v>190172</c:v>
                </c:pt>
                <c:pt idx="32">
                  <c:v>199427</c:v>
                </c:pt>
                <c:pt idx="33">
                  <c:v>200028</c:v>
                </c:pt>
                <c:pt idx="34">
                  <c:v>200042</c:v>
                </c:pt>
                <c:pt idx="35">
                  <c:v>200333</c:v>
                </c:pt>
                <c:pt idx="36">
                  <c:v>200402</c:v>
                </c:pt>
                <c:pt idx="37">
                  <c:v>208655</c:v>
                </c:pt>
                <c:pt idx="38">
                  <c:v>217471</c:v>
                </c:pt>
                <c:pt idx="39">
                  <c:v>222433</c:v>
                </c:pt>
                <c:pt idx="40">
                  <c:v>226306</c:v>
                </c:pt>
                <c:pt idx="41">
                  <c:v>227388</c:v>
                </c:pt>
                <c:pt idx="42">
                  <c:v>230010</c:v>
                </c:pt>
                <c:pt idx="43">
                  <c:v>230297</c:v>
                </c:pt>
                <c:pt idx="44">
                  <c:v>230783</c:v>
                </c:pt>
                <c:pt idx="45">
                  <c:v>244849</c:v>
                </c:pt>
                <c:pt idx="46">
                  <c:v>251687</c:v>
                </c:pt>
                <c:pt idx="47">
                  <c:v>252595</c:v>
                </c:pt>
                <c:pt idx="48">
                  <c:v>253641</c:v>
                </c:pt>
                <c:pt idx="49">
                  <c:v>253870</c:v>
                </c:pt>
                <c:pt idx="50">
                  <c:v>259416</c:v>
                </c:pt>
                <c:pt idx="51">
                  <c:v>259988</c:v>
                </c:pt>
                <c:pt idx="52">
                  <c:v>268345</c:v>
                </c:pt>
                <c:pt idx="53">
                  <c:v>271057</c:v>
                </c:pt>
              </c:numCache>
            </c:numRef>
          </c:val>
          <c:smooth val="0"/>
          <c:extLst>
            <c:ext xmlns:c16="http://schemas.microsoft.com/office/drawing/2014/chart" uri="{C3380CC4-5D6E-409C-BE32-E72D297353CC}">
              <c16:uniqueId val="{00000002-EA94-4222-AECB-906028696269}"/>
            </c:ext>
          </c:extLst>
        </c:ser>
        <c:ser>
          <c:idx val="3"/>
          <c:order val="3"/>
          <c:tx>
            <c:strRef>
              <c:f>Chart!$F$1</c:f>
              <c:strCache>
                <c:ptCount val="1"/>
                <c:pt idx="0">
                  <c:v>Shannon</c:v>
                </c:pt>
              </c:strCache>
            </c:strRef>
          </c:tx>
          <c:spPr>
            <a:ln w="22225" cap="rnd">
              <a:solidFill>
                <a:schemeClr val="accent2">
                  <a:lumMod val="60000"/>
                </a:schemeClr>
              </a:solidFill>
              <a:round/>
            </a:ln>
            <a:effectLst/>
          </c:spPr>
          <c:marker>
            <c:symbol val="x"/>
            <c:size val="6"/>
            <c:spPr>
              <a:noFill/>
              <a:ln w="9525">
                <a:solidFill>
                  <a:schemeClr val="accent2">
                    <a:lumMod val="60000"/>
                  </a:schemeClr>
                </a:solidFill>
                <a:round/>
              </a:ln>
              <a:effectLst/>
            </c:spPr>
          </c:marker>
          <c:cat>
            <c:strRef>
              <c:f>Chart!$A$2:$A$55</c:f>
              <c:strCache>
                <c:ptCount val="54"/>
                <c:pt idx="0">
                  <c:v>2012Q1</c:v>
                </c:pt>
                <c:pt idx="1">
                  <c:v>2012Q2</c:v>
                </c:pt>
                <c:pt idx="2">
                  <c:v>2012Q3</c:v>
                </c:pt>
                <c:pt idx="3">
                  <c:v>2012Q4</c:v>
                </c:pt>
                <c:pt idx="4">
                  <c:v>2013Q1</c:v>
                </c:pt>
                <c:pt idx="5">
                  <c:v>2013Q2</c:v>
                </c:pt>
                <c:pt idx="6">
                  <c:v>2013Q3</c:v>
                </c:pt>
                <c:pt idx="7">
                  <c:v>2013Q4</c:v>
                </c:pt>
                <c:pt idx="8">
                  <c:v>2014Q1</c:v>
                </c:pt>
                <c:pt idx="9">
                  <c:v>2014Q2</c:v>
                </c:pt>
                <c:pt idx="10">
                  <c:v>2014Q3</c:v>
                </c:pt>
                <c:pt idx="11">
                  <c:v>2014Q4</c:v>
                </c:pt>
                <c:pt idx="12">
                  <c:v>2015Q1</c:v>
                </c:pt>
                <c:pt idx="13">
                  <c:v>2015Q2</c:v>
                </c:pt>
                <c:pt idx="14">
                  <c:v>2015Q3</c:v>
                </c:pt>
                <c:pt idx="15">
                  <c:v>2015Q4</c:v>
                </c:pt>
                <c:pt idx="16">
                  <c:v>2016Q1</c:v>
                </c:pt>
                <c:pt idx="17">
                  <c:v>2016Q2</c:v>
                </c:pt>
                <c:pt idx="18">
                  <c:v>2016Q3</c:v>
                </c:pt>
                <c:pt idx="19">
                  <c:v>2016Q4</c:v>
                </c:pt>
                <c:pt idx="20">
                  <c:v>2017Q1</c:v>
                </c:pt>
                <c:pt idx="21">
                  <c:v>2017Q2</c:v>
                </c:pt>
                <c:pt idx="22">
                  <c:v>2017Q3</c:v>
                </c:pt>
                <c:pt idx="23">
                  <c:v>2017Q4</c:v>
                </c:pt>
                <c:pt idx="24">
                  <c:v>2018Q1</c:v>
                </c:pt>
                <c:pt idx="25">
                  <c:v>2018Q2</c:v>
                </c:pt>
                <c:pt idx="26">
                  <c:v>2018Q3</c:v>
                </c:pt>
                <c:pt idx="27">
                  <c:v>2018Q4</c:v>
                </c:pt>
                <c:pt idx="28">
                  <c:v>2019Q1</c:v>
                </c:pt>
                <c:pt idx="29">
                  <c:v>2019Q2</c:v>
                </c:pt>
                <c:pt idx="30">
                  <c:v>2019Q3</c:v>
                </c:pt>
                <c:pt idx="31">
                  <c:v>2019Q4</c:v>
                </c:pt>
                <c:pt idx="32">
                  <c:v>2020Q1</c:v>
                </c:pt>
                <c:pt idx="33">
                  <c:v>2020Q2</c:v>
                </c:pt>
                <c:pt idx="34">
                  <c:v>2020Q3</c:v>
                </c:pt>
                <c:pt idx="35">
                  <c:v>2020Q4</c:v>
                </c:pt>
                <c:pt idx="36">
                  <c:v>2021Q1</c:v>
                </c:pt>
                <c:pt idx="37">
                  <c:v>2021Q2</c:v>
                </c:pt>
                <c:pt idx="38">
                  <c:v>2021Q3</c:v>
                </c:pt>
                <c:pt idx="39">
                  <c:v>2021Q4</c:v>
                </c:pt>
                <c:pt idx="40">
                  <c:v>2022Q1</c:v>
                </c:pt>
                <c:pt idx="41">
                  <c:v>2022Q2</c:v>
                </c:pt>
                <c:pt idx="42">
                  <c:v>2022Q3</c:v>
                </c:pt>
                <c:pt idx="43">
                  <c:v>2022Q4</c:v>
                </c:pt>
                <c:pt idx="44">
                  <c:v>2023Q1</c:v>
                </c:pt>
                <c:pt idx="45">
                  <c:v>2023Q2</c:v>
                </c:pt>
                <c:pt idx="46">
                  <c:v>2023Q3</c:v>
                </c:pt>
                <c:pt idx="47">
                  <c:v>2023Q4</c:v>
                </c:pt>
                <c:pt idx="48">
                  <c:v>2024Q1</c:v>
                </c:pt>
                <c:pt idx="49">
                  <c:v>2024Q2</c:v>
                </c:pt>
                <c:pt idx="50">
                  <c:v>2024Q3</c:v>
                </c:pt>
                <c:pt idx="51">
                  <c:v>2024Q4</c:v>
                </c:pt>
                <c:pt idx="52">
                  <c:v>2025Q1</c:v>
                </c:pt>
                <c:pt idx="53">
                  <c:v>2025Q2</c:v>
                </c:pt>
              </c:strCache>
            </c:strRef>
          </c:cat>
          <c:val>
            <c:numRef>
              <c:f>Chart!$F$2:$F$55</c:f>
              <c:numCache>
                <c:formatCode>General</c:formatCode>
                <c:ptCount val="54"/>
                <c:pt idx="0">
                  <c:v>215424</c:v>
                </c:pt>
                <c:pt idx="1">
                  <c:v>367971</c:v>
                </c:pt>
                <c:pt idx="2">
                  <c:v>440305</c:v>
                </c:pt>
                <c:pt idx="3">
                  <c:v>262439</c:v>
                </c:pt>
                <c:pt idx="4">
                  <c:v>203393</c:v>
                </c:pt>
                <c:pt idx="5">
                  <c:v>373612</c:v>
                </c:pt>
                <c:pt idx="6">
                  <c:v>466075</c:v>
                </c:pt>
                <c:pt idx="7">
                  <c:v>265162</c:v>
                </c:pt>
                <c:pt idx="8">
                  <c:v>194886</c:v>
                </c:pt>
                <c:pt idx="9">
                  <c:v>468186</c:v>
                </c:pt>
                <c:pt idx="10">
                  <c:v>559929</c:v>
                </c:pt>
                <c:pt idx="11">
                  <c:v>332224</c:v>
                </c:pt>
                <c:pt idx="12">
                  <c:v>260625</c:v>
                </c:pt>
                <c:pt idx="13">
                  <c:v>470946</c:v>
                </c:pt>
                <c:pt idx="14">
                  <c:v>565509</c:v>
                </c:pt>
                <c:pt idx="15">
                  <c:v>345808</c:v>
                </c:pt>
                <c:pt idx="16">
                  <c:v>282929</c:v>
                </c:pt>
                <c:pt idx="17">
                  <c:v>481657</c:v>
                </c:pt>
                <c:pt idx="18">
                  <c:v>562727</c:v>
                </c:pt>
                <c:pt idx="19">
                  <c:v>347254</c:v>
                </c:pt>
                <c:pt idx="20">
                  <c:v>271753</c:v>
                </c:pt>
                <c:pt idx="21">
                  <c:v>454971</c:v>
                </c:pt>
                <c:pt idx="22">
                  <c:v>531272</c:v>
                </c:pt>
                <c:pt idx="23">
                  <c:v>341394</c:v>
                </c:pt>
                <c:pt idx="24">
                  <c:v>277070</c:v>
                </c:pt>
                <c:pt idx="25">
                  <c:v>486168</c:v>
                </c:pt>
                <c:pt idx="26">
                  <c:v>561411</c:v>
                </c:pt>
                <c:pt idx="27">
                  <c:v>353012</c:v>
                </c:pt>
                <c:pt idx="28">
                  <c:v>269887</c:v>
                </c:pt>
                <c:pt idx="29">
                  <c:v>468422</c:v>
                </c:pt>
                <c:pt idx="30">
                  <c:v>536697</c:v>
                </c:pt>
                <c:pt idx="31">
                  <c:v>341416</c:v>
                </c:pt>
                <c:pt idx="32">
                  <c:v>216228</c:v>
                </c:pt>
                <c:pt idx="33">
                  <c:v>120</c:v>
                </c:pt>
                <c:pt idx="34">
                  <c:v>45505</c:v>
                </c:pt>
                <c:pt idx="35">
                  <c:v>12081</c:v>
                </c:pt>
                <c:pt idx="36">
                  <c:v>2322</c:v>
                </c:pt>
                <c:pt idx="37">
                  <c:v>10289</c:v>
                </c:pt>
                <c:pt idx="38">
                  <c:v>125294</c:v>
                </c:pt>
                <c:pt idx="39">
                  <c:v>184257</c:v>
                </c:pt>
                <c:pt idx="40">
                  <c:v>181211</c:v>
                </c:pt>
                <c:pt idx="41">
                  <c:v>407939</c:v>
                </c:pt>
                <c:pt idx="42">
                  <c:v>465036</c:v>
                </c:pt>
                <c:pt idx="43">
                  <c:v>367771</c:v>
                </c:pt>
                <c:pt idx="44">
                  <c:v>328493</c:v>
                </c:pt>
                <c:pt idx="45">
                  <c:v>546423</c:v>
                </c:pt>
                <c:pt idx="46">
                  <c:v>601388</c:v>
                </c:pt>
                <c:pt idx="47">
                  <c:v>421295</c:v>
                </c:pt>
                <c:pt idx="48">
                  <c:v>369746</c:v>
                </c:pt>
                <c:pt idx="49">
                  <c:v>576113</c:v>
                </c:pt>
                <c:pt idx="50">
                  <c:v>642440</c:v>
                </c:pt>
                <c:pt idx="51">
                  <c:v>462532</c:v>
                </c:pt>
                <c:pt idx="52">
                  <c:v>384698</c:v>
                </c:pt>
                <c:pt idx="53">
                  <c:v>633511</c:v>
                </c:pt>
              </c:numCache>
            </c:numRef>
          </c:val>
          <c:smooth val="0"/>
          <c:extLst>
            <c:ext xmlns:c16="http://schemas.microsoft.com/office/drawing/2014/chart" uri="{C3380CC4-5D6E-409C-BE32-E72D297353CC}">
              <c16:uniqueId val="{00000003-EA94-4222-AECB-906028696269}"/>
            </c:ext>
          </c:extLst>
        </c:ser>
        <c:dLbls>
          <c:showLegendKey val="0"/>
          <c:showVal val="0"/>
          <c:showCatName val="0"/>
          <c:showSerName val="0"/>
          <c:showPercent val="0"/>
          <c:showBubbleSize val="0"/>
        </c:dLbls>
        <c:marker val="1"/>
        <c:smooth val="0"/>
        <c:axId val="542188143"/>
        <c:axId val="542189103"/>
      </c:lineChart>
      <c:catAx>
        <c:axId val="542188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42189103"/>
        <c:crosses val="autoZero"/>
        <c:auto val="1"/>
        <c:lblAlgn val="ctr"/>
        <c:lblOffset val="100"/>
        <c:noMultiLvlLbl val="0"/>
      </c:catAx>
      <c:valAx>
        <c:axId val="542189103"/>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1881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solidFill>
                  <a:schemeClr val="tx1"/>
                </a:solidFill>
              </a:rPr>
              <a:t>Average Quarterly passengers by Airport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Chart!$AN$1</c:f>
              <c:strCache>
                <c:ptCount val="1"/>
                <c:pt idx="0">
                  <c:v>Mean_Passengers</c:v>
                </c:pt>
              </c:strCache>
            </c:strRef>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Ref>
              <c:f>Chart!$AM$2:$AM$6</c:f>
              <c:strCache>
                <c:ptCount val="5"/>
                <c:pt idx="0">
                  <c:v>Dublin</c:v>
                </c:pt>
                <c:pt idx="1">
                  <c:v>Cork</c:v>
                </c:pt>
                <c:pt idx="2">
                  <c:v>Kerry</c:v>
                </c:pt>
                <c:pt idx="3">
                  <c:v>Knock</c:v>
                </c:pt>
                <c:pt idx="4">
                  <c:v>Shannon</c:v>
                </c:pt>
              </c:strCache>
            </c:strRef>
          </c:cat>
          <c:val>
            <c:numRef>
              <c:f>Chart!$AN$2:$AN$6</c:f>
              <c:numCache>
                <c:formatCode>General</c:formatCode>
                <c:ptCount val="5"/>
                <c:pt idx="0">
                  <c:v>6209078.9440000001</c:v>
                </c:pt>
                <c:pt idx="1">
                  <c:v>533698.5</c:v>
                </c:pt>
                <c:pt idx="2">
                  <c:v>77147.166670000006</c:v>
                </c:pt>
                <c:pt idx="3">
                  <c:v>164889.9259</c:v>
                </c:pt>
                <c:pt idx="4">
                  <c:v>358244.92589999997</c:v>
                </c:pt>
              </c:numCache>
            </c:numRef>
          </c:val>
          <c:extLst>
            <c:ext xmlns:c16="http://schemas.microsoft.com/office/drawing/2014/chart" uri="{C3380CC4-5D6E-409C-BE32-E72D297353CC}">
              <c16:uniqueId val="{00000000-1F50-4590-8A76-9DEBEF7FC3D6}"/>
            </c:ext>
          </c:extLst>
        </c:ser>
        <c:dLbls>
          <c:showLegendKey val="0"/>
          <c:showVal val="0"/>
          <c:showCatName val="0"/>
          <c:showSerName val="0"/>
          <c:showPercent val="0"/>
          <c:showBubbleSize val="0"/>
        </c:dLbls>
        <c:gapWidth val="150"/>
        <c:shape val="box"/>
        <c:axId val="1167636799"/>
        <c:axId val="1167637759"/>
        <c:axId val="0"/>
      </c:bar3DChart>
      <c:catAx>
        <c:axId val="116763679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Airports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37759"/>
        <c:crosses val="autoZero"/>
        <c:auto val="1"/>
        <c:lblAlgn val="ctr"/>
        <c:lblOffset val="100"/>
        <c:noMultiLvlLbl val="0"/>
      </c:catAx>
      <c:valAx>
        <c:axId val="1167637759"/>
        <c:scaling>
          <c:orientation val="minMax"/>
        </c:scaling>
        <c:delete val="0"/>
        <c:axPos val="l"/>
        <c:majorGridlines>
          <c:spPr>
            <a:ln>
              <a:solidFill>
                <a:schemeClr val="tx1">
                  <a:lumMod val="15000"/>
                  <a:lumOff val="85000"/>
                </a:schemeClr>
              </a:solidFill>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a:t>Passengers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63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 Passengers by Quarter ( Seasonality 2021 - 2025)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991426071741033"/>
          <c:y val="0.18601851851851853"/>
          <c:w val="0.83953018372703414"/>
          <c:h val="0.70658209390492843"/>
        </c:manualLayout>
      </c:layout>
      <c:bar3DChart>
        <c:barDir val="col"/>
        <c:grouping val="clustered"/>
        <c:varyColors val="0"/>
        <c:ser>
          <c:idx val="0"/>
          <c:order val="0"/>
          <c:tx>
            <c:strRef>
              <c:f>Sheet1!$M$1</c:f>
              <c:strCache>
                <c:ptCount val="1"/>
                <c:pt idx="0">
                  <c:v>Mean passenger</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Sheet1!$L$2:$L$5</c:f>
              <c:strCache>
                <c:ptCount val="4"/>
                <c:pt idx="0">
                  <c:v>Q1</c:v>
                </c:pt>
                <c:pt idx="1">
                  <c:v>Q2</c:v>
                </c:pt>
                <c:pt idx="2">
                  <c:v>Q3</c:v>
                </c:pt>
                <c:pt idx="3">
                  <c:v>Q4</c:v>
                </c:pt>
              </c:strCache>
            </c:strRef>
          </c:cat>
          <c:val>
            <c:numRef>
              <c:f>Sheet1!$M$2:$M$5</c:f>
              <c:numCache>
                <c:formatCode>General</c:formatCode>
                <c:ptCount val="4"/>
                <c:pt idx="0">
                  <c:v>5866724.6428571427</c:v>
                </c:pt>
                <c:pt idx="1">
                  <c:v>7941135</c:v>
                </c:pt>
                <c:pt idx="2">
                  <c:v>8873318.0769230761</c:v>
                </c:pt>
                <c:pt idx="3">
                  <c:v>6758618.538461538</c:v>
                </c:pt>
              </c:numCache>
            </c:numRef>
          </c:val>
          <c:extLst>
            <c:ext xmlns:c16="http://schemas.microsoft.com/office/drawing/2014/chart" uri="{C3380CC4-5D6E-409C-BE32-E72D297353CC}">
              <c16:uniqueId val="{00000000-0DC8-4F4F-90C2-F3499C60026C}"/>
            </c:ext>
          </c:extLst>
        </c:ser>
        <c:dLbls>
          <c:showLegendKey val="0"/>
          <c:showVal val="0"/>
          <c:showCatName val="0"/>
          <c:showSerName val="0"/>
          <c:showPercent val="0"/>
          <c:showBubbleSize val="0"/>
        </c:dLbls>
        <c:gapWidth val="150"/>
        <c:shape val="box"/>
        <c:axId val="376886927"/>
        <c:axId val="376887887"/>
        <c:axId val="0"/>
      </c:bar3DChart>
      <c:catAx>
        <c:axId val="3768869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87887"/>
        <c:crosses val="autoZero"/>
        <c:auto val="1"/>
        <c:lblAlgn val="ctr"/>
        <c:lblOffset val="100"/>
        <c:noMultiLvlLbl val="0"/>
      </c:catAx>
      <c:valAx>
        <c:axId val="376887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88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ln>
                  <a:noFill/>
                </a:ln>
                <a:solidFill>
                  <a:schemeClr val="tx1"/>
                </a:solidFill>
                <a:effectLst>
                  <a:outerShdw blurRad="50800" dist="38100" dir="2700000" algn="tl" rotWithShape="0">
                    <a:prstClr val="black">
                      <a:alpha val="40000"/>
                    </a:prstClr>
                  </a:outerShdw>
                </a:effectLst>
                <a:latin typeface="+mn-lt"/>
                <a:ea typeface="+mn-ea"/>
                <a:cs typeface="+mn-cs"/>
              </a:defRPr>
            </a:pPr>
            <a:r>
              <a:rPr lang="en-US" sz="1520" baseline="0"/>
              <a:t>Dublin Airport quarterly passengers vs Time index </a:t>
            </a:r>
          </a:p>
        </c:rich>
      </c:tx>
      <c:layout>
        <c:manualLayout>
          <c:xMode val="edge"/>
          <c:yMode val="edge"/>
          <c:x val="0.29731424812568102"/>
          <c:y val="2.4323679483793863E-2"/>
        </c:manualLayout>
      </c:layout>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45421916010498686"/>
                  <c:y val="-0.1577974628171478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trendlineLbl>
          </c:trendline>
          <c:xVal>
            <c:numRef>
              <c:f>'Dublin_Regression&amp;Correlation'!$A$2:$A$55</c:f>
              <c:numCache>
                <c:formatCode>General</c:formatCode>
                <c:ptCount val="5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numCache>
            </c:numRef>
          </c:xVal>
          <c:yVal>
            <c:numRef>
              <c:f>'Dublin_Regression&amp;Correlation'!$B$2:$B$55</c:f>
              <c:numCache>
                <c:formatCode>General</c:formatCode>
                <c:ptCount val="54"/>
                <c:pt idx="0">
                  <c:v>3740432</c:v>
                </c:pt>
                <c:pt idx="1">
                  <c:v>5180478</c:v>
                </c:pt>
                <c:pt idx="2">
                  <c:v>5851043</c:v>
                </c:pt>
                <c:pt idx="3">
                  <c:v>4318828</c:v>
                </c:pt>
                <c:pt idx="4">
                  <c:v>3874988</c:v>
                </c:pt>
                <c:pt idx="5">
                  <c:v>5460037</c:v>
                </c:pt>
                <c:pt idx="6">
                  <c:v>6211891</c:v>
                </c:pt>
                <c:pt idx="7">
                  <c:v>4601658</c:v>
                </c:pt>
                <c:pt idx="8">
                  <c:v>4062698</c:v>
                </c:pt>
                <c:pt idx="9">
                  <c:v>5914826</c:v>
                </c:pt>
                <c:pt idx="10">
                  <c:v>6617238</c:v>
                </c:pt>
                <c:pt idx="11">
                  <c:v>5100131</c:v>
                </c:pt>
                <c:pt idx="12">
                  <c:v>4740924</c:v>
                </c:pt>
                <c:pt idx="13">
                  <c:v>6733056</c:v>
                </c:pt>
                <c:pt idx="14">
                  <c:v>7621339</c:v>
                </c:pt>
                <c:pt idx="15">
                  <c:v>5867199</c:v>
                </c:pt>
                <c:pt idx="16">
                  <c:v>5534979</c:v>
                </c:pt>
                <c:pt idx="17">
                  <c:v>7415559</c:v>
                </c:pt>
                <c:pt idx="18">
                  <c:v>8361602</c:v>
                </c:pt>
                <c:pt idx="19">
                  <c:v>6466748</c:v>
                </c:pt>
                <c:pt idx="20">
                  <c:v>5795278</c:v>
                </c:pt>
                <c:pt idx="21">
                  <c:v>7960058</c:v>
                </c:pt>
                <c:pt idx="22">
                  <c:v>8893941</c:v>
                </c:pt>
                <c:pt idx="23">
                  <c:v>6805197</c:v>
                </c:pt>
                <c:pt idx="24">
                  <c:v>6037482</c:v>
                </c:pt>
                <c:pt idx="25">
                  <c:v>8558244</c:v>
                </c:pt>
                <c:pt idx="26">
                  <c:v>9430981</c:v>
                </c:pt>
                <c:pt idx="27">
                  <c:v>7292712</c:v>
                </c:pt>
                <c:pt idx="28">
                  <c:v>6480314</c:v>
                </c:pt>
                <c:pt idx="29">
                  <c:v>8957586</c:v>
                </c:pt>
                <c:pt idx="30">
                  <c:v>9852369</c:v>
                </c:pt>
                <c:pt idx="31">
                  <c:v>7385982</c:v>
                </c:pt>
                <c:pt idx="32">
                  <c:v>5139128</c:v>
                </c:pt>
                <c:pt idx="33">
                  <c:v>155592</c:v>
                </c:pt>
                <c:pt idx="34">
                  <c:v>1270411</c:v>
                </c:pt>
                <c:pt idx="35">
                  <c:v>702109</c:v>
                </c:pt>
                <c:pt idx="36">
                  <c:v>405112</c:v>
                </c:pt>
                <c:pt idx="37">
                  <c:v>554749</c:v>
                </c:pt>
                <c:pt idx="38">
                  <c:v>3202834</c:v>
                </c:pt>
                <c:pt idx="39">
                  <c:v>4103576</c:v>
                </c:pt>
                <c:pt idx="40">
                  <c:v>4099571</c:v>
                </c:pt>
                <c:pt idx="41">
                  <c:v>7779695</c:v>
                </c:pt>
                <c:pt idx="42">
                  <c:v>8840733</c:v>
                </c:pt>
                <c:pt idx="43">
                  <c:v>7073346</c:v>
                </c:pt>
                <c:pt idx="44">
                  <c:v>6589966</c:v>
                </c:pt>
                <c:pt idx="45">
                  <c:v>9058940</c:v>
                </c:pt>
                <c:pt idx="46">
                  <c:v>9929211</c:v>
                </c:pt>
                <c:pt idx="47">
                  <c:v>7684824</c:v>
                </c:pt>
                <c:pt idx="48">
                  <c:v>7025552</c:v>
                </c:pt>
                <c:pt idx="49">
                  <c:v>9479228</c:v>
                </c:pt>
                <c:pt idx="50">
                  <c:v>10369522</c:v>
                </c:pt>
                <c:pt idx="51">
                  <c:v>7748958</c:v>
                </c:pt>
                <c:pt idx="52">
                  <c:v>6933757</c:v>
                </c:pt>
                <c:pt idx="53">
                  <c:v>10017651</c:v>
                </c:pt>
              </c:numCache>
            </c:numRef>
          </c:yVal>
          <c:smooth val="0"/>
          <c:extLst>
            <c:ext xmlns:c16="http://schemas.microsoft.com/office/drawing/2014/chart" uri="{C3380CC4-5D6E-409C-BE32-E72D297353CC}">
              <c16:uniqueId val="{00000000-3285-4E4E-8D8C-1377620DC4EC}"/>
            </c:ext>
          </c:extLst>
        </c:ser>
        <c:dLbls>
          <c:showLegendKey val="0"/>
          <c:showVal val="0"/>
          <c:showCatName val="0"/>
          <c:showSerName val="0"/>
          <c:showPercent val="0"/>
          <c:showBubbleSize val="0"/>
        </c:dLbls>
        <c:axId val="757075976"/>
        <c:axId val="757098504"/>
      </c:scatterChart>
      <c:valAx>
        <c:axId val="757075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757098504"/>
        <c:crosses val="autoZero"/>
        <c:crossBetween val="midCat"/>
      </c:valAx>
      <c:valAx>
        <c:axId val="757098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crossAx val="757075976"/>
        <c:crosses val="autoZero"/>
        <c:crossBetween val="midCat"/>
      </c:valAx>
      <c:spPr>
        <a:noFill/>
        <a:ln>
          <a:noFill/>
        </a:ln>
        <a:effectLst/>
      </c:spPr>
    </c:plotArea>
    <c:legend>
      <c:legendPos val="b"/>
      <c:layout>
        <c:manualLayout>
          <c:xMode val="edge"/>
          <c:yMode val="edge"/>
          <c:x val="0.21193966720193913"/>
          <c:y val="0.88012806827593015"/>
          <c:w val="0.57781824146981631"/>
          <c:h val="9.4923811606882472E-2"/>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baseline="0">
          <a:ln>
            <a:noFill/>
          </a:ln>
          <a:solidFill>
            <a:schemeClr val="tx1"/>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sz="1800" b="0" i="0" u="none" strike="noStrike" baseline="0">
                <a:solidFill>
                  <a:sysClr val="windowText" lastClr="000000">
                    <a:lumMod val="75000"/>
                    <a:lumOff val="25000"/>
                  </a:sysClr>
                </a:solidFill>
                <a:effectLst/>
                <a:latin typeface="Calibri"/>
                <a:ea typeface="Calibri" panose="020F0502020204030204" pitchFamily="34" charset="0"/>
                <a:cs typeface="Calibri" panose="020F0502020204030204" pitchFamily="34" charset="0"/>
              </a:rPr>
              <a:t>Distribution of Quarterly Passenger Numbers – Dublin Airport (2012–2025)</a:t>
            </a:r>
            <a:endParaRPr lang="en-US" sz="1800" b="1" i="0" u="none" strike="noStrike" baseline="0">
              <a:solidFill>
                <a:sysClr val="windowText" lastClr="000000">
                  <a:lumMod val="75000"/>
                  <a:lumOff val="25000"/>
                </a:sysClr>
              </a:solidFill>
              <a:latin typeface="Calibri"/>
            </a:endParaRPr>
          </a:p>
        </cx:rich>
      </cx:tx>
    </cx:title>
    <cx:plotArea>
      <cx:plotAreaRegion>
        <cx:series layoutId="clusteredColumn" uniqueId="{B0BDB99F-E08F-423D-8A97-98C393BC6BC7}">
          <cx:tx>
            <cx:txData>
              <cx:f>_xlchart.v1.0</cx:f>
              <cx:v>Dublin</cx:v>
            </cx:txData>
          </cx:tx>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binning intervalClosed="r">
              <cx:binCount val="10"/>
            </cx:binning>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3971925" cy="13811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3971925" cy="13811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10886</xdr:colOff>
      <xdr:row>0</xdr:row>
      <xdr:rowOff>54430</xdr:rowOff>
    </xdr:from>
    <xdr:to>
      <xdr:col>23</xdr:col>
      <xdr:colOff>576943</xdr:colOff>
      <xdr:row>30</xdr:row>
      <xdr:rowOff>32658</xdr:rowOff>
    </xdr:to>
    <xdr:graphicFrame macro="">
      <xdr:nvGraphicFramePr>
        <xdr:cNvPr id="4" name="Chart 3">
          <a:extLst>
            <a:ext uri="{FF2B5EF4-FFF2-40B4-BE49-F238E27FC236}">
              <a16:creationId xmlns:a16="http://schemas.microsoft.com/office/drawing/2014/main" id="{8D837689-FA2E-8EFB-9F31-EA7E54145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141515</xdr:colOff>
      <xdr:row>32</xdr:row>
      <xdr:rowOff>21770</xdr:rowOff>
    </xdr:from>
    <xdr:to>
      <xdr:col>21</xdr:col>
      <xdr:colOff>348343</xdr:colOff>
      <xdr:row>57</xdr:row>
      <xdr:rowOff>141513</xdr:rowOff>
    </xdr:to>
    <xdr:graphicFrame macro="">
      <xdr:nvGraphicFramePr>
        <xdr:cNvPr id="5" name="Chart 4">
          <a:extLst>
            <a:ext uri="{FF2B5EF4-FFF2-40B4-BE49-F238E27FC236}">
              <a16:creationId xmlns:a16="http://schemas.microsoft.com/office/drawing/2014/main" id="{C78804D1-DDD6-6BB1-1E8F-4CC150132F1E}"/>
            </a:ext>
            <a:ext uri="{147F2762-F138-4A5C-976F-8EAC2B608ADB}">
              <a16:predDERef xmlns:a16="http://schemas.microsoft.com/office/drawing/2014/main" pred="{8D837689-FA2E-8EFB-9F31-EA7E54145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289831</xdr:colOff>
      <xdr:row>0</xdr:row>
      <xdr:rowOff>114300</xdr:rowOff>
    </xdr:from>
    <xdr:to>
      <xdr:col>33</xdr:col>
      <xdr:colOff>420461</xdr:colOff>
      <xdr:row>33</xdr:row>
      <xdr:rowOff>88445</xdr:rowOff>
    </xdr:to>
    <xdr:graphicFrame macro="">
      <xdr:nvGraphicFramePr>
        <xdr:cNvPr id="9" name="Chart 2">
          <a:extLst>
            <a:ext uri="{FF2B5EF4-FFF2-40B4-BE49-F238E27FC236}">
              <a16:creationId xmlns:a16="http://schemas.microsoft.com/office/drawing/2014/main" id="{5E9337EE-F5BA-EB5D-059E-A9AF7F357A6C}"/>
            </a:ext>
            <a:ext uri="{147F2762-F138-4A5C-976F-8EAC2B608ADB}">
              <a16:predDERef xmlns:a16="http://schemas.microsoft.com/office/drawing/2014/main" pred="{C78804D1-DDD6-6BB1-1E8F-4CC150132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217713</xdr:colOff>
      <xdr:row>35</xdr:row>
      <xdr:rowOff>106437</xdr:rowOff>
    </xdr:from>
    <xdr:to>
      <xdr:col>34</xdr:col>
      <xdr:colOff>441384</xdr:colOff>
      <xdr:row>63</xdr:row>
      <xdr:rowOff>36147</xdr:rowOff>
    </xdr:to>
    <xdr:graphicFrame macro="">
      <xdr:nvGraphicFramePr>
        <xdr:cNvPr id="6" name="Chart 5">
          <a:extLst>
            <a:ext uri="{FF2B5EF4-FFF2-40B4-BE49-F238E27FC236}">
              <a16:creationId xmlns:a16="http://schemas.microsoft.com/office/drawing/2014/main" id="{AAA04288-D287-450B-B23A-F60C9B3B19DF}"/>
            </a:ext>
            <a:ext uri="{147F2762-F138-4A5C-976F-8EAC2B608ADB}">
              <a16:predDERef xmlns:a16="http://schemas.microsoft.com/office/drawing/2014/main" pred="{5E9337EE-F5BA-EB5D-059E-A9AF7F357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283028</xdr:colOff>
      <xdr:row>10</xdr:row>
      <xdr:rowOff>1</xdr:rowOff>
    </xdr:from>
    <xdr:to>
      <xdr:col>45</xdr:col>
      <xdr:colOff>337456</xdr:colOff>
      <xdr:row>29</xdr:row>
      <xdr:rowOff>108859</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E5DEDF94-AC52-0885-C965-8616F26C34F0}"/>
                </a:ext>
                <a:ext uri="{147F2762-F138-4A5C-976F-8EAC2B608ADB}">
                  <a16:predDERef xmlns:a16="http://schemas.microsoft.com/office/drawing/2014/main" pred="{AAA04288-D287-450B-B23A-F60C9B3B19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043968" y="1828801"/>
              <a:ext cx="6760028" cy="358357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522514</xdr:colOff>
      <xdr:row>62</xdr:row>
      <xdr:rowOff>6531</xdr:rowOff>
    </xdr:from>
    <xdr:to>
      <xdr:col>6</xdr:col>
      <xdr:colOff>522514</xdr:colOff>
      <xdr:row>75</xdr:row>
      <xdr:rowOff>67763</xdr:rowOff>
    </xdr:to>
    <mc:AlternateContent xmlns:mc="http://schemas.openxmlformats.org/markup-compatibility/2006" xmlns:a14="http://schemas.microsoft.com/office/drawing/2010/main">
      <mc:Choice Requires="a14">
        <xdr:graphicFrame macro="">
          <xdr:nvGraphicFramePr>
            <xdr:cNvPr id="2" name="Airports in Ireland">
              <a:extLst>
                <a:ext uri="{FF2B5EF4-FFF2-40B4-BE49-F238E27FC236}">
                  <a16:creationId xmlns:a16="http://schemas.microsoft.com/office/drawing/2014/main" id="{6637DE90-A3AC-D9E2-BDA1-275FD6AE7EBE}"/>
                </a:ext>
              </a:extLst>
            </xdr:cNvPr>
            <xdr:cNvGraphicFramePr/>
          </xdr:nvGraphicFramePr>
          <xdr:xfrm>
            <a:off x="0" y="0"/>
            <a:ext cx="0" cy="0"/>
          </xdr:xfrm>
          <a:graphic>
            <a:graphicData uri="http://schemas.microsoft.com/office/drawing/2010/slicer">
              <sle:slicer xmlns:sle="http://schemas.microsoft.com/office/drawing/2010/slicer" name="Airports in Ireland"/>
            </a:graphicData>
          </a:graphic>
        </xdr:graphicFrame>
      </mc:Choice>
      <mc:Fallback xmlns="">
        <xdr:sp macro="" textlink="">
          <xdr:nvSpPr>
            <xdr:cNvPr id="0" name=""/>
            <xdr:cNvSpPr>
              <a:spLocks noTextEdit="1"/>
            </xdr:cNvSpPr>
          </xdr:nvSpPr>
          <xdr:spPr>
            <a:xfrm>
              <a:off x="3701143" y="1148007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2</xdr:col>
      <xdr:colOff>544490</xdr:colOff>
      <xdr:row>9</xdr:row>
      <xdr:rowOff>70476</xdr:rowOff>
    </xdr:from>
    <xdr:ext cx="65" cy="172227"/>
    <xdr:sp macro="" textlink="">
      <xdr:nvSpPr>
        <xdr:cNvPr id="4" name="TextBox 3">
          <a:extLst>
            <a:ext uri="{FF2B5EF4-FFF2-40B4-BE49-F238E27FC236}">
              <a16:creationId xmlns:a16="http://schemas.microsoft.com/office/drawing/2014/main" id="{D2D76B4C-2F4F-4AF0-ACD9-524C47690B9C}"/>
            </a:ext>
          </a:extLst>
        </xdr:cNvPr>
        <xdr:cNvSpPr txBox="1"/>
      </xdr:nvSpPr>
      <xdr:spPr>
        <a:xfrm>
          <a:off x="4369730" y="30346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2</xdr:col>
      <xdr:colOff>544490</xdr:colOff>
      <xdr:row>9</xdr:row>
      <xdr:rowOff>70476</xdr:rowOff>
    </xdr:from>
    <xdr:ext cx="65" cy="172227"/>
    <xdr:sp macro="" textlink="">
      <xdr:nvSpPr>
        <xdr:cNvPr id="5" name="TextBox 4">
          <a:extLst>
            <a:ext uri="{FF2B5EF4-FFF2-40B4-BE49-F238E27FC236}">
              <a16:creationId xmlns:a16="http://schemas.microsoft.com/office/drawing/2014/main" id="{B8985F45-60EF-4498-A8B1-DE959C4679CD}"/>
            </a:ext>
          </a:extLst>
        </xdr:cNvPr>
        <xdr:cNvSpPr txBox="1"/>
      </xdr:nvSpPr>
      <xdr:spPr>
        <a:xfrm>
          <a:off x="4369730" y="303465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15</xdr:col>
      <xdr:colOff>544490</xdr:colOff>
      <xdr:row>9</xdr:row>
      <xdr:rowOff>70476</xdr:rowOff>
    </xdr:from>
    <xdr:ext cx="65" cy="172227"/>
    <xdr:sp macro="" textlink="">
      <xdr:nvSpPr>
        <xdr:cNvPr id="6" name="TextBox 5">
          <a:extLst>
            <a:ext uri="{FF2B5EF4-FFF2-40B4-BE49-F238E27FC236}">
              <a16:creationId xmlns:a16="http://schemas.microsoft.com/office/drawing/2014/main" id="{D38F973B-9C13-409A-B61E-3A4A9BD12A6C}"/>
            </a:ext>
          </a:extLst>
        </xdr:cNvPr>
        <xdr:cNvSpPr txBox="1"/>
      </xdr:nvSpPr>
      <xdr:spPr>
        <a:xfrm>
          <a:off x="1893230" y="17849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oneCellAnchor>
    <xdr:from>
      <xdr:col>15</xdr:col>
      <xdr:colOff>544490</xdr:colOff>
      <xdr:row>9</xdr:row>
      <xdr:rowOff>70476</xdr:rowOff>
    </xdr:from>
    <xdr:ext cx="65" cy="172227"/>
    <xdr:sp macro="" textlink="">
      <xdr:nvSpPr>
        <xdr:cNvPr id="7" name="TextBox 6">
          <a:extLst>
            <a:ext uri="{FF2B5EF4-FFF2-40B4-BE49-F238E27FC236}">
              <a16:creationId xmlns:a16="http://schemas.microsoft.com/office/drawing/2014/main" id="{39E9769B-8FF9-4839-B2FB-4BEF0C1A1222}"/>
            </a:ext>
          </a:extLst>
        </xdr:cNvPr>
        <xdr:cNvSpPr txBox="1"/>
      </xdr:nvSpPr>
      <xdr:spPr>
        <a:xfrm>
          <a:off x="1893230" y="178497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10</xdr:col>
      <xdr:colOff>525845</xdr:colOff>
      <xdr:row>1</xdr:row>
      <xdr:rowOff>124152</xdr:rowOff>
    </xdr:from>
    <xdr:to>
      <xdr:col>27</xdr:col>
      <xdr:colOff>315310</xdr:colOff>
      <xdr:row>40</xdr:row>
      <xdr:rowOff>13137</xdr:rowOff>
    </xdr:to>
    <xdr:graphicFrame macro="">
      <xdr:nvGraphicFramePr>
        <xdr:cNvPr id="36" name="Chart 1">
          <a:extLst>
            <a:ext uri="{FF2B5EF4-FFF2-40B4-BE49-F238E27FC236}">
              <a16:creationId xmlns:a16="http://schemas.microsoft.com/office/drawing/2014/main" id="{328410AD-509B-F440-72C4-6096084B7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jith" refreshedDate="45976.853223032405" createdVersion="8" refreshedVersion="8" minRefreshableVersion="3" recordCount="955" xr:uid="{87DB0D8F-D8BA-4569-9CBC-688D52EBA476}">
  <cacheSource type="worksheet">
    <worksheetSource ref="A1:F1048576" sheet=" CLEANED_DATA"/>
  </cacheSource>
  <cacheFields count="6">
    <cacheField name="Quarter (A)" numFmtId="0">
      <sharedItems containsBlank="1"/>
    </cacheField>
    <cacheField name="Airports in Ireland" numFmtId="0">
      <sharedItems containsBlank="1" count="7">
        <s v="All main airports"/>
        <s v="Cork"/>
        <s v="Dublin"/>
        <s v="Kerry"/>
        <s v="Knock"/>
        <s v="Shannon"/>
        <m/>
      </sharedItems>
    </cacheField>
    <cacheField name="VALUE (B)" numFmtId="0">
      <sharedItems containsString="0" containsBlank="1" containsNumber="1" containsInteger="1" minValue="3" maxValue="12364310"/>
    </cacheField>
    <cacheField name="Year" numFmtId="0">
      <sharedItems containsString="0" containsBlank="1" containsNumber="1" containsInteger="1" minValue="2012" maxValue="2025"/>
    </cacheField>
    <cacheField name="Quarter_Num" numFmtId="0">
      <sharedItems containsBlank="1"/>
    </cacheField>
    <cacheField name="Period" numFmtId="0">
      <sharedItems containsBlank="1" count="4">
        <s v="Pre-COVID"/>
        <s v="COVID"/>
        <s v="Post-COVID"/>
        <m/>
      </sharedItems>
    </cacheField>
  </cacheFields>
  <extLst>
    <ext xmlns:x14="http://schemas.microsoft.com/office/spreadsheetml/2009/9/main" uri="{725AE2AE-9491-48be-B2B4-4EB974FC3084}">
      <x14:pivotCacheDefinition pivotCacheId="1091726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5">
  <r>
    <s v="2012Q1"/>
    <x v="0"/>
    <n v="4546115"/>
    <n v="2012"/>
    <s v="Q1"/>
    <x v="0"/>
  </r>
  <r>
    <s v="2012Q1"/>
    <x v="1"/>
    <n v="432766"/>
    <n v="2012"/>
    <s v="Q1"/>
    <x v="0"/>
  </r>
  <r>
    <s v="2012Q1"/>
    <x v="2"/>
    <n v="3740432"/>
    <n v="2012"/>
    <s v="Q1"/>
    <x v="0"/>
  </r>
  <r>
    <s v="2012Q1"/>
    <x v="3"/>
    <n v="49557"/>
    <n v="2012"/>
    <s v="Q1"/>
    <x v="0"/>
  </r>
  <r>
    <s v="2012Q1"/>
    <x v="4"/>
    <n v="107936"/>
    <n v="2012"/>
    <s v="Q1"/>
    <x v="0"/>
  </r>
  <r>
    <s v="2012Q1"/>
    <x v="5"/>
    <n v="215424"/>
    <n v="2012"/>
    <s v="Q1"/>
    <x v="0"/>
  </r>
  <r>
    <s v="2012Q2"/>
    <x v="0"/>
    <n v="6478251"/>
    <n v="2012"/>
    <s v="Q2"/>
    <x v="0"/>
  </r>
  <r>
    <s v="2012Q2"/>
    <x v="1"/>
    <n v="648839"/>
    <n v="2012"/>
    <s v="Q2"/>
    <x v="0"/>
  </r>
  <r>
    <s v="2012Q2"/>
    <x v="2"/>
    <n v="5180478"/>
    <n v="2012"/>
    <s v="Q2"/>
    <x v="0"/>
  </r>
  <r>
    <s v="2012Q2"/>
    <x v="3"/>
    <n v="81536"/>
    <n v="2012"/>
    <s v="Q2"/>
    <x v="0"/>
  </r>
  <r>
    <s v="2012Q2"/>
    <x v="4"/>
    <n v="199427"/>
    <n v="2012"/>
    <s v="Q2"/>
    <x v="0"/>
  </r>
  <r>
    <s v="2012Q2"/>
    <x v="5"/>
    <n v="367971"/>
    <n v="2012"/>
    <s v="Q2"/>
    <x v="0"/>
  </r>
  <r>
    <s v="2012Q3"/>
    <x v="0"/>
    <n v="7367068"/>
    <n v="2012"/>
    <s v="Q3"/>
    <x v="0"/>
  </r>
  <r>
    <s v="2012Q3"/>
    <x v="1"/>
    <n v="754985"/>
    <n v="2012"/>
    <s v="Q3"/>
    <x v="0"/>
  </r>
  <r>
    <s v="2012Q3"/>
    <x v="2"/>
    <n v="5851043"/>
    <n v="2012"/>
    <s v="Q3"/>
    <x v="0"/>
  </r>
  <r>
    <s v="2012Q3"/>
    <x v="3"/>
    <n v="90438"/>
    <n v="2012"/>
    <s v="Q3"/>
    <x v="0"/>
  </r>
  <r>
    <s v="2012Q3"/>
    <x v="4"/>
    <n v="230297"/>
    <n v="2012"/>
    <s v="Q3"/>
    <x v="0"/>
  </r>
  <r>
    <s v="2012Q3"/>
    <x v="5"/>
    <n v="440305"/>
    <n v="2012"/>
    <s v="Q3"/>
    <x v="0"/>
  </r>
  <r>
    <s v="2012Q4"/>
    <x v="0"/>
    <n v="5282939"/>
    <n v="2012"/>
    <s v="Q4"/>
    <x v="0"/>
  </r>
  <r>
    <s v="2012Q4"/>
    <x v="1"/>
    <n v="497053"/>
    <n v="2012"/>
    <s v="Q4"/>
    <x v="0"/>
  </r>
  <r>
    <s v="2012Q4"/>
    <x v="2"/>
    <n v="4318828"/>
    <n v="2012"/>
    <s v="Q4"/>
    <x v="0"/>
  </r>
  <r>
    <s v="2012Q4"/>
    <x v="3"/>
    <n v="64911"/>
    <n v="2012"/>
    <s v="Q4"/>
    <x v="0"/>
  </r>
  <r>
    <s v="2012Q4"/>
    <x v="4"/>
    <n v="139708"/>
    <n v="2012"/>
    <s v="Q4"/>
    <x v="0"/>
  </r>
  <r>
    <s v="2012Q4"/>
    <x v="5"/>
    <n v="262439"/>
    <n v="2012"/>
    <s v="Q4"/>
    <x v="0"/>
  </r>
  <r>
    <s v="2013Q1"/>
    <x v="0"/>
    <n v="4676120"/>
    <n v="2013"/>
    <s v="Q1"/>
    <x v="0"/>
  </r>
  <r>
    <s v="2013Q1"/>
    <x v="1"/>
    <n v="436568"/>
    <n v="2013"/>
    <s v="Q1"/>
    <x v="0"/>
  </r>
  <r>
    <s v="2013Q1"/>
    <x v="2"/>
    <n v="3874988"/>
    <n v="2013"/>
    <s v="Q1"/>
    <x v="0"/>
  </r>
  <r>
    <s v="2013Q1"/>
    <x v="3"/>
    <n v="50391"/>
    <n v="2013"/>
    <s v="Q1"/>
    <x v="0"/>
  </r>
  <r>
    <s v="2013Q1"/>
    <x v="4"/>
    <n v="110780"/>
    <n v="2013"/>
    <s v="Q1"/>
    <x v="0"/>
  </r>
  <r>
    <s v="2013Q1"/>
    <x v="5"/>
    <n v="203393"/>
    <n v="2013"/>
    <s v="Q1"/>
    <x v="0"/>
  </r>
  <r>
    <s v="2013Q2"/>
    <x v="0"/>
    <n v="6747049"/>
    <n v="2013"/>
    <s v="Q2"/>
    <x v="0"/>
  </r>
  <r>
    <s v="2013Q2"/>
    <x v="1"/>
    <n v="634674"/>
    <n v="2013"/>
    <s v="Q2"/>
    <x v="0"/>
  </r>
  <r>
    <s v="2013Q2"/>
    <x v="2"/>
    <n v="5460037"/>
    <n v="2013"/>
    <s v="Q2"/>
    <x v="0"/>
  </r>
  <r>
    <s v="2013Q2"/>
    <x v="3"/>
    <n v="89225"/>
    <n v="2013"/>
    <s v="Q2"/>
    <x v="0"/>
  </r>
  <r>
    <s v="2013Q2"/>
    <x v="4"/>
    <n v="189501"/>
    <n v="2013"/>
    <s v="Q2"/>
    <x v="0"/>
  </r>
  <r>
    <s v="2013Q2"/>
    <x v="5"/>
    <n v="373612"/>
    <n v="2013"/>
    <s v="Q2"/>
    <x v="0"/>
  </r>
  <r>
    <s v="2013Q3"/>
    <x v="0"/>
    <n v="7719407"/>
    <n v="2013"/>
    <s v="Q3"/>
    <x v="0"/>
  </r>
  <r>
    <s v="2013Q3"/>
    <x v="1"/>
    <n v="713739"/>
    <n v="2013"/>
    <s v="Q3"/>
    <x v="0"/>
  </r>
  <r>
    <s v="2013Q3"/>
    <x v="2"/>
    <n v="6211891"/>
    <n v="2013"/>
    <s v="Q3"/>
    <x v="0"/>
  </r>
  <r>
    <s v="2013Q3"/>
    <x v="3"/>
    <n v="100314"/>
    <n v="2013"/>
    <s v="Q3"/>
    <x v="0"/>
  </r>
  <r>
    <s v="2013Q3"/>
    <x v="4"/>
    <n v="227388"/>
    <n v="2013"/>
    <s v="Q3"/>
    <x v="0"/>
  </r>
  <r>
    <s v="2013Q3"/>
    <x v="5"/>
    <n v="466075"/>
    <n v="2013"/>
    <s v="Q3"/>
    <x v="0"/>
  </r>
  <r>
    <s v="2013Q4"/>
    <x v="0"/>
    <n v="5538476"/>
    <n v="2013"/>
    <s v="Q4"/>
    <x v="0"/>
  </r>
  <r>
    <s v="2013Q4"/>
    <x v="1"/>
    <n v="467655"/>
    <n v="2013"/>
    <s v="Q4"/>
    <x v="0"/>
  </r>
  <r>
    <s v="2013Q4"/>
    <x v="2"/>
    <n v="4601658"/>
    <n v="2013"/>
    <s v="Q4"/>
    <x v="0"/>
  </r>
  <r>
    <s v="2013Q4"/>
    <x v="3"/>
    <n v="66112"/>
    <n v="2013"/>
    <s v="Q4"/>
    <x v="0"/>
  </r>
  <r>
    <s v="2013Q4"/>
    <x v="4"/>
    <n v="137889"/>
    <n v="2013"/>
    <s v="Q4"/>
    <x v="0"/>
  </r>
  <r>
    <s v="2013Q4"/>
    <x v="5"/>
    <n v="265162"/>
    <n v="2013"/>
    <s v="Q4"/>
    <x v="0"/>
  </r>
  <r>
    <s v="2014Q1"/>
    <x v="0"/>
    <n v="4804441"/>
    <n v="2014"/>
    <s v="Q1"/>
    <x v="0"/>
  </r>
  <r>
    <s v="2014Q1"/>
    <x v="1"/>
    <n v="400785"/>
    <n v="2014"/>
    <s v="Q1"/>
    <x v="0"/>
  </r>
  <r>
    <s v="2014Q1"/>
    <x v="2"/>
    <n v="4062698"/>
    <n v="2014"/>
    <s v="Q1"/>
    <x v="0"/>
  </r>
  <r>
    <s v="2014Q1"/>
    <x v="3"/>
    <n v="45956"/>
    <n v="2014"/>
    <s v="Q1"/>
    <x v="0"/>
  </r>
  <r>
    <s v="2014Q1"/>
    <x v="4"/>
    <n v="100116"/>
    <n v="2014"/>
    <s v="Q1"/>
    <x v="0"/>
  </r>
  <r>
    <s v="2014Q1"/>
    <x v="5"/>
    <n v="194886"/>
    <n v="2014"/>
    <s v="Q1"/>
    <x v="0"/>
  </r>
  <r>
    <s v="2014Q2"/>
    <x v="0"/>
    <n v="7278735"/>
    <n v="2014"/>
    <s v="Q2"/>
    <x v="0"/>
  </r>
  <r>
    <s v="2014Q2"/>
    <x v="1"/>
    <n v="610996"/>
    <n v="2014"/>
    <s v="Q2"/>
    <x v="0"/>
  </r>
  <r>
    <s v="2014Q2"/>
    <x v="2"/>
    <n v="5914826"/>
    <n v="2014"/>
    <s v="Q2"/>
    <x v="0"/>
  </r>
  <r>
    <s v="2014Q2"/>
    <x v="3"/>
    <n v="84394"/>
    <n v="2014"/>
    <s v="Q2"/>
    <x v="0"/>
  </r>
  <r>
    <s v="2014Q2"/>
    <x v="4"/>
    <n v="200333"/>
    <n v="2014"/>
    <s v="Q2"/>
    <x v="0"/>
  </r>
  <r>
    <s v="2014Q2"/>
    <x v="5"/>
    <n v="468186"/>
    <n v="2014"/>
    <s v="Q2"/>
    <x v="0"/>
  </r>
  <r>
    <s v="2014Q3"/>
    <x v="0"/>
    <n v="8219084"/>
    <n v="2014"/>
    <s v="Q3"/>
    <x v="0"/>
  </r>
  <r>
    <s v="2014Q3"/>
    <x v="1"/>
    <n v="685538"/>
    <n v="2014"/>
    <s v="Q3"/>
    <x v="0"/>
  </r>
  <r>
    <s v="2014Q3"/>
    <x v="2"/>
    <n v="6617238"/>
    <n v="2014"/>
    <s v="Q3"/>
    <x v="0"/>
  </r>
  <r>
    <s v="2014Q3"/>
    <x v="3"/>
    <n v="96963"/>
    <n v="2014"/>
    <s v="Q3"/>
    <x v="0"/>
  </r>
  <r>
    <s v="2014Q3"/>
    <x v="4"/>
    <n v="259416"/>
    <n v="2014"/>
    <s v="Q3"/>
    <x v="0"/>
  </r>
  <r>
    <s v="2014Q3"/>
    <x v="5"/>
    <n v="559929"/>
    <n v="2014"/>
    <s v="Q3"/>
    <x v="0"/>
  </r>
  <r>
    <s v="2014Q4"/>
    <x v="0"/>
    <n v="6084540"/>
    <n v="2014"/>
    <s v="Q4"/>
    <x v="0"/>
  </r>
  <r>
    <s v="2014Q4"/>
    <x v="1"/>
    <n v="440738"/>
    <n v="2014"/>
    <s v="Q4"/>
    <x v="0"/>
  </r>
  <r>
    <s v="2014Q4"/>
    <x v="2"/>
    <n v="5100131"/>
    <n v="2014"/>
    <s v="Q4"/>
    <x v="0"/>
  </r>
  <r>
    <s v="2014Q4"/>
    <x v="3"/>
    <n v="67642"/>
    <n v="2014"/>
    <s v="Q4"/>
    <x v="0"/>
  </r>
  <r>
    <s v="2014Q4"/>
    <x v="4"/>
    <n v="143805"/>
    <n v="2014"/>
    <s v="Q4"/>
    <x v="0"/>
  </r>
  <r>
    <s v="2014Q4"/>
    <x v="5"/>
    <n v="332224"/>
    <n v="2014"/>
    <s v="Q4"/>
    <x v="0"/>
  </r>
  <r>
    <s v="2015Q1"/>
    <x v="0"/>
    <n v="5541321"/>
    <n v="2015"/>
    <s v="Q1"/>
    <x v="0"/>
  </r>
  <r>
    <s v="2015Q1"/>
    <x v="1"/>
    <n v="379553"/>
    <n v="2015"/>
    <s v="Q1"/>
    <x v="0"/>
  </r>
  <r>
    <s v="2015Q1"/>
    <x v="2"/>
    <n v="4740924"/>
    <n v="2015"/>
    <s v="Q1"/>
    <x v="0"/>
  </r>
  <r>
    <s v="2015Q1"/>
    <x v="3"/>
    <n v="46806"/>
    <n v="2015"/>
    <s v="Q1"/>
    <x v="0"/>
  </r>
  <r>
    <s v="2015Q1"/>
    <x v="4"/>
    <n v="113413"/>
    <n v="2015"/>
    <s v="Q1"/>
    <x v="0"/>
  </r>
  <r>
    <s v="2015Q1"/>
    <x v="5"/>
    <n v="260625"/>
    <n v="2015"/>
    <s v="Q1"/>
    <x v="0"/>
  </r>
  <r>
    <s v="2015Q2"/>
    <x v="0"/>
    <n v="8072483"/>
    <n v="2015"/>
    <s v="Q2"/>
    <x v="0"/>
  </r>
  <r>
    <s v="2015Q2"/>
    <x v="1"/>
    <n v="580130"/>
    <n v="2015"/>
    <s v="Q2"/>
    <x v="0"/>
  </r>
  <r>
    <s v="2015Q2"/>
    <x v="2"/>
    <n v="6733056"/>
    <n v="2015"/>
    <s v="Q2"/>
    <x v="0"/>
  </r>
  <r>
    <s v="2015Q2"/>
    <x v="3"/>
    <n v="88309"/>
    <n v="2015"/>
    <s v="Q2"/>
    <x v="0"/>
  </r>
  <r>
    <s v="2015Q2"/>
    <x v="4"/>
    <n v="200042"/>
    <n v="2015"/>
    <s v="Q2"/>
    <x v="0"/>
  </r>
  <r>
    <s v="2015Q2"/>
    <x v="5"/>
    <n v="470946"/>
    <n v="2015"/>
    <s v="Q2"/>
    <x v="0"/>
  </r>
  <r>
    <s v="2015Q3"/>
    <x v="0"/>
    <n v="9166638"/>
    <n v="2015"/>
    <s v="Q3"/>
    <x v="0"/>
  </r>
  <r>
    <s v="2015Q3"/>
    <x v="1"/>
    <n v="653801"/>
    <n v="2015"/>
    <s v="Q3"/>
    <x v="0"/>
  </r>
  <r>
    <s v="2015Q3"/>
    <x v="2"/>
    <n v="7621339"/>
    <n v="2015"/>
    <s v="Q3"/>
    <x v="0"/>
  </r>
  <r>
    <s v="2015Q3"/>
    <x v="3"/>
    <n v="99683"/>
    <n v="2015"/>
    <s v="Q3"/>
    <x v="0"/>
  </r>
  <r>
    <s v="2015Q3"/>
    <x v="4"/>
    <n v="226306"/>
    <n v="2015"/>
    <s v="Q3"/>
    <x v="0"/>
  </r>
  <r>
    <s v="2015Q3"/>
    <x v="5"/>
    <n v="565509"/>
    <n v="2015"/>
    <s v="Q3"/>
    <x v="0"/>
  </r>
  <r>
    <s v="2015Q4"/>
    <x v="0"/>
    <n v="6878352"/>
    <n v="2015"/>
    <s v="Q4"/>
    <x v="0"/>
  </r>
  <r>
    <s v="2015Q4"/>
    <x v="1"/>
    <n v="452194"/>
    <n v="2015"/>
    <s v="Q4"/>
    <x v="0"/>
  </r>
  <r>
    <s v="2015Q4"/>
    <x v="2"/>
    <n v="5867199"/>
    <n v="2015"/>
    <s v="Q4"/>
    <x v="0"/>
  </r>
  <r>
    <s v="2015Q4"/>
    <x v="3"/>
    <n v="68241"/>
    <n v="2015"/>
    <s v="Q4"/>
    <x v="0"/>
  </r>
  <r>
    <s v="2015Q4"/>
    <x v="4"/>
    <n v="144910"/>
    <n v="2015"/>
    <s v="Q4"/>
    <x v="0"/>
  </r>
  <r>
    <s v="2015Q4"/>
    <x v="5"/>
    <n v="345808"/>
    <n v="2015"/>
    <s v="Q4"/>
    <x v="0"/>
  </r>
  <r>
    <s v="2016Q1"/>
    <x v="0"/>
    <n v="6419047"/>
    <n v="2016"/>
    <s v="Q1"/>
    <x v="0"/>
  </r>
  <r>
    <s v="2016Q1"/>
    <x v="1"/>
    <n v="419334"/>
    <n v="2016"/>
    <s v="Q1"/>
    <x v="0"/>
  </r>
  <r>
    <s v="2016Q1"/>
    <x v="2"/>
    <n v="5534979"/>
    <n v="2016"/>
    <s v="Q1"/>
    <x v="0"/>
  </r>
  <r>
    <s v="2016Q1"/>
    <x v="3"/>
    <n v="58771"/>
    <n v="2016"/>
    <s v="Q1"/>
    <x v="0"/>
  </r>
  <r>
    <s v="2016Q1"/>
    <x v="4"/>
    <n v="123034"/>
    <n v="2016"/>
    <s v="Q1"/>
    <x v="0"/>
  </r>
  <r>
    <s v="2016Q1"/>
    <x v="5"/>
    <n v="282929"/>
    <n v="2016"/>
    <s v="Q1"/>
    <x v="0"/>
  </r>
  <r>
    <s v="2016Q2"/>
    <x v="0"/>
    <n v="8814289"/>
    <n v="2016"/>
    <s v="Q2"/>
    <x v="0"/>
  </r>
  <r>
    <s v="2016Q2"/>
    <x v="1"/>
    <n v="625599"/>
    <n v="2016"/>
    <s v="Q2"/>
    <x v="0"/>
  </r>
  <r>
    <s v="2016Q2"/>
    <x v="2"/>
    <n v="7415559"/>
    <n v="2016"/>
    <s v="Q2"/>
    <x v="0"/>
  </r>
  <r>
    <s v="2016Q2"/>
    <x v="3"/>
    <n v="91072"/>
    <n v="2016"/>
    <s v="Q2"/>
    <x v="0"/>
  </r>
  <r>
    <s v="2016Q2"/>
    <x v="4"/>
    <n v="200402"/>
    <n v="2016"/>
    <s v="Q2"/>
    <x v="0"/>
  </r>
  <r>
    <s v="2016Q2"/>
    <x v="5"/>
    <n v="481657"/>
    <n v="2016"/>
    <s v="Q2"/>
    <x v="0"/>
  </r>
  <r>
    <s v="2016Q3"/>
    <x v="0"/>
    <n v="9989845"/>
    <n v="2016"/>
    <s v="Q3"/>
    <x v="0"/>
  </r>
  <r>
    <s v="2016Q3"/>
    <x v="1"/>
    <n v="706690"/>
    <n v="2016"/>
    <s v="Q3"/>
    <x v="0"/>
  </r>
  <r>
    <s v="2016Q3"/>
    <x v="2"/>
    <n v="8361602"/>
    <n v="2016"/>
    <s v="Q3"/>
    <x v="0"/>
  </r>
  <r>
    <s v="2016Q3"/>
    <x v="3"/>
    <n v="104956"/>
    <n v="2016"/>
    <s v="Q3"/>
    <x v="0"/>
  </r>
  <r>
    <s v="2016Q3"/>
    <x v="4"/>
    <n v="253870"/>
    <n v="2016"/>
    <s v="Q3"/>
    <x v="0"/>
  </r>
  <r>
    <s v="2016Q3"/>
    <x v="5"/>
    <n v="562727"/>
    <n v="2016"/>
    <s v="Q3"/>
    <x v="0"/>
  </r>
  <r>
    <s v="2016Q4"/>
    <x v="0"/>
    <n v="7518046"/>
    <n v="2016"/>
    <s v="Q4"/>
    <x v="0"/>
  </r>
  <r>
    <s v="2016Q4"/>
    <x v="1"/>
    <n v="474610"/>
    <n v="2016"/>
    <s v="Q4"/>
    <x v="0"/>
  </r>
  <r>
    <s v="2016Q4"/>
    <x v="2"/>
    <n v="6466748"/>
    <n v="2016"/>
    <s v="Q4"/>
    <x v="0"/>
  </r>
  <r>
    <s v="2016Q4"/>
    <x v="3"/>
    <n v="70871"/>
    <n v="2016"/>
    <s v="Q4"/>
    <x v="0"/>
  </r>
  <r>
    <s v="2016Q4"/>
    <x v="4"/>
    <n v="158563"/>
    <n v="2016"/>
    <s v="Q4"/>
    <x v="0"/>
  </r>
  <r>
    <s v="2016Q4"/>
    <x v="5"/>
    <n v="347254"/>
    <n v="2016"/>
    <s v="Q4"/>
    <x v="0"/>
  </r>
  <r>
    <s v="2017Q1"/>
    <x v="0"/>
    <n v="6678744"/>
    <n v="2017"/>
    <s v="Q1"/>
    <x v="0"/>
  </r>
  <r>
    <s v="2017Q1"/>
    <x v="1"/>
    <n v="418458"/>
    <n v="2017"/>
    <s v="Q1"/>
    <x v="0"/>
  </r>
  <r>
    <s v="2017Q1"/>
    <x v="2"/>
    <n v="5795278"/>
    <n v="2017"/>
    <s v="Q1"/>
    <x v="0"/>
  </r>
  <r>
    <s v="2017Q1"/>
    <x v="3"/>
    <n v="59034"/>
    <n v="2017"/>
    <s v="Q1"/>
    <x v="0"/>
  </r>
  <r>
    <s v="2017Q1"/>
    <x v="4"/>
    <n v="134221"/>
    <n v="2017"/>
    <s v="Q1"/>
    <x v="0"/>
  </r>
  <r>
    <s v="2017Q1"/>
    <x v="5"/>
    <n v="271753"/>
    <n v="2017"/>
    <s v="Q1"/>
    <x v="0"/>
  </r>
  <r>
    <s v="2017Q2"/>
    <x v="0"/>
    <n v="9359711"/>
    <n v="2017"/>
    <s v="Q2"/>
    <x v="0"/>
  </r>
  <r>
    <s v="2017Q2"/>
    <x v="1"/>
    <n v="637491"/>
    <n v="2017"/>
    <s v="Q2"/>
    <x v="0"/>
  </r>
  <r>
    <s v="2017Q2"/>
    <x v="2"/>
    <n v="7960058"/>
    <n v="2017"/>
    <s v="Q2"/>
    <x v="0"/>
  </r>
  <r>
    <s v="2017Q2"/>
    <x v="3"/>
    <n v="98536"/>
    <n v="2017"/>
    <s v="Q2"/>
    <x v="0"/>
  </r>
  <r>
    <s v="2017Q2"/>
    <x v="4"/>
    <n v="208655"/>
    <n v="2017"/>
    <s v="Q2"/>
    <x v="0"/>
  </r>
  <r>
    <s v="2017Q2"/>
    <x v="5"/>
    <n v="454971"/>
    <n v="2017"/>
    <s v="Q2"/>
    <x v="0"/>
  </r>
  <r>
    <s v="2017Q3"/>
    <x v="0"/>
    <n v="10524366"/>
    <n v="2017"/>
    <s v="Q3"/>
    <x v="0"/>
  </r>
  <r>
    <s v="2017Q3"/>
    <x v="1"/>
    <n v="752138"/>
    <n v="2017"/>
    <s v="Q3"/>
    <x v="0"/>
  </r>
  <r>
    <s v="2017Q3"/>
    <x v="2"/>
    <n v="8893941"/>
    <n v="2017"/>
    <s v="Q3"/>
    <x v="0"/>
  </r>
  <r>
    <s v="2017Q3"/>
    <x v="3"/>
    <n v="102166"/>
    <n v="2017"/>
    <s v="Q3"/>
    <x v="0"/>
  </r>
  <r>
    <s v="2017Q3"/>
    <x v="4"/>
    <n v="244849"/>
    <n v="2017"/>
    <s v="Q3"/>
    <x v="0"/>
  </r>
  <r>
    <s v="2017Q3"/>
    <x v="5"/>
    <n v="531272"/>
    <n v="2017"/>
    <s v="Q3"/>
    <x v="0"/>
  </r>
  <r>
    <s v="2017Q4"/>
    <x v="0"/>
    <n v="7876478"/>
    <n v="2017"/>
    <s v="Q4"/>
    <x v="0"/>
  </r>
  <r>
    <s v="2017Q4"/>
    <x v="1"/>
    <n v="493363"/>
    <n v="2017"/>
    <s v="Q4"/>
    <x v="0"/>
  </r>
  <r>
    <s v="2017Q4"/>
    <x v="2"/>
    <n v="6805197"/>
    <n v="2017"/>
    <s v="Q4"/>
    <x v="0"/>
  </r>
  <r>
    <s v="2017Q4"/>
    <x v="3"/>
    <n v="75744"/>
    <n v="2017"/>
    <s v="Q4"/>
    <x v="0"/>
  </r>
  <r>
    <s v="2017Q4"/>
    <x v="4"/>
    <n v="160780"/>
    <n v="2017"/>
    <s v="Q4"/>
    <x v="0"/>
  </r>
  <r>
    <s v="2017Q4"/>
    <x v="5"/>
    <n v="341394"/>
    <n v="2017"/>
    <s v="Q4"/>
    <x v="0"/>
  </r>
  <r>
    <s v="2018Q1"/>
    <x v="0"/>
    <n v="6939843"/>
    <n v="2018"/>
    <s v="Q1"/>
    <x v="0"/>
  </r>
  <r>
    <s v="2018Q1"/>
    <x v="1"/>
    <n v="428618"/>
    <n v="2018"/>
    <s v="Q1"/>
    <x v="0"/>
  </r>
  <r>
    <s v="2018Q1"/>
    <x v="2"/>
    <n v="6037482"/>
    <n v="2018"/>
    <s v="Q1"/>
    <x v="0"/>
  </r>
  <r>
    <s v="2018Q1"/>
    <x v="3"/>
    <n v="65439"/>
    <n v="2018"/>
    <s v="Q1"/>
    <x v="0"/>
  </r>
  <r>
    <s v="2018Q1"/>
    <x v="4"/>
    <n v="131234"/>
    <n v="2018"/>
    <s v="Q1"/>
    <x v="0"/>
  </r>
  <r>
    <s v="2018Q1"/>
    <x v="5"/>
    <n v="277070"/>
    <n v="2018"/>
    <s v="Q1"/>
    <x v="0"/>
  </r>
  <r>
    <s v="2018Q2"/>
    <x v="0"/>
    <n v="10031143"/>
    <n v="2018"/>
    <s v="Q2"/>
    <x v="0"/>
  </r>
  <r>
    <s v="2018Q2"/>
    <x v="1"/>
    <n v="665643"/>
    <n v="2018"/>
    <s v="Q2"/>
    <x v="0"/>
  </r>
  <r>
    <s v="2018Q2"/>
    <x v="2"/>
    <n v="8558244"/>
    <n v="2018"/>
    <s v="Q2"/>
    <x v="0"/>
  </r>
  <r>
    <s v="2018Q2"/>
    <x v="3"/>
    <n v="103617"/>
    <n v="2018"/>
    <s v="Q2"/>
    <x v="0"/>
  </r>
  <r>
    <s v="2018Q2"/>
    <x v="4"/>
    <n v="217471"/>
    <n v="2018"/>
    <s v="Q2"/>
    <x v="0"/>
  </r>
  <r>
    <s v="2018Q2"/>
    <x v="5"/>
    <n v="486168"/>
    <n v="2018"/>
    <s v="Q2"/>
    <x v="0"/>
  </r>
  <r>
    <s v="2018Q3"/>
    <x v="0"/>
    <n v="11131101"/>
    <n v="2018"/>
    <s v="Q3"/>
    <x v="0"/>
  </r>
  <r>
    <s v="2018Q3"/>
    <x v="1"/>
    <n v="773012"/>
    <n v="2018"/>
    <s v="Q3"/>
    <x v="0"/>
  </r>
  <r>
    <s v="2018Q3"/>
    <x v="2"/>
    <n v="9430981"/>
    <n v="2018"/>
    <s v="Q3"/>
    <x v="0"/>
  </r>
  <r>
    <s v="2018Q3"/>
    <x v="3"/>
    <n v="114010"/>
    <n v="2018"/>
    <s v="Q3"/>
    <x v="0"/>
  </r>
  <r>
    <s v="2018Q3"/>
    <x v="4"/>
    <n v="251687"/>
    <n v="2018"/>
    <s v="Q3"/>
    <x v="0"/>
  </r>
  <r>
    <s v="2018Q3"/>
    <x v="5"/>
    <n v="561411"/>
    <n v="2018"/>
    <s v="Q3"/>
    <x v="0"/>
  </r>
  <r>
    <s v="2018Q4"/>
    <x v="0"/>
    <n v="8419046"/>
    <n v="2018"/>
    <s v="Q4"/>
    <x v="0"/>
  </r>
  <r>
    <s v="2018Q4"/>
    <x v="1"/>
    <n v="520533"/>
    <n v="2018"/>
    <s v="Q4"/>
    <x v="0"/>
  </r>
  <r>
    <s v="2018Q4"/>
    <x v="2"/>
    <n v="7292712"/>
    <n v="2018"/>
    <s v="Q4"/>
    <x v="0"/>
  </r>
  <r>
    <s v="2018Q4"/>
    <x v="3"/>
    <n v="82273"/>
    <n v="2018"/>
    <s v="Q4"/>
    <x v="0"/>
  </r>
  <r>
    <s v="2018Q4"/>
    <x v="4"/>
    <n v="170516"/>
    <n v="2018"/>
    <s v="Q4"/>
    <x v="0"/>
  </r>
  <r>
    <s v="2018Q4"/>
    <x v="5"/>
    <n v="353012"/>
    <n v="2018"/>
    <s v="Q4"/>
    <x v="0"/>
  </r>
  <r>
    <s v="2019Q1"/>
    <x v="0"/>
    <n v="7435673"/>
    <n v="2019"/>
    <s v="Q1"/>
    <x v="0"/>
  </r>
  <r>
    <s v="2019Q1"/>
    <x v="1"/>
    <n v="474297"/>
    <n v="2019"/>
    <s v="Q1"/>
    <x v="0"/>
  </r>
  <r>
    <s v="2019Q1"/>
    <x v="2"/>
    <n v="6480314"/>
    <n v="2019"/>
    <s v="Q1"/>
    <x v="0"/>
  </r>
  <r>
    <s v="2019Q1"/>
    <x v="3"/>
    <n v="68606"/>
    <n v="2019"/>
    <s v="Q1"/>
    <x v="0"/>
  </r>
  <r>
    <s v="2019Q1"/>
    <x v="4"/>
    <n v="142569"/>
    <n v="2019"/>
    <s v="Q1"/>
    <x v="0"/>
  </r>
  <r>
    <s v="2019Q1"/>
    <x v="5"/>
    <n v="269887"/>
    <n v="2019"/>
    <s v="Q1"/>
    <x v="0"/>
  </r>
  <r>
    <s v="2019Q2"/>
    <x v="0"/>
    <n v="10479523"/>
    <n v="2019"/>
    <s v="Q2"/>
    <x v="0"/>
  </r>
  <r>
    <s v="2019Q2"/>
    <x v="1"/>
    <n v="728548"/>
    <n v="2019"/>
    <s v="Q2"/>
    <x v="0"/>
  </r>
  <r>
    <s v="2019Q2"/>
    <x v="2"/>
    <n v="8957586"/>
    <n v="2019"/>
    <s v="Q2"/>
    <x v="0"/>
  </r>
  <r>
    <s v="2019Q2"/>
    <x v="3"/>
    <n v="102534"/>
    <n v="2019"/>
    <s v="Q2"/>
    <x v="0"/>
  </r>
  <r>
    <s v="2019Q2"/>
    <x v="4"/>
    <n v="222433"/>
    <n v="2019"/>
    <s v="Q2"/>
    <x v="0"/>
  </r>
  <r>
    <s v="2019Q2"/>
    <x v="5"/>
    <n v="468422"/>
    <n v="2019"/>
    <s v="Q2"/>
    <x v="0"/>
  </r>
  <r>
    <s v="2019Q3"/>
    <x v="0"/>
    <n v="11597270"/>
    <n v="2019"/>
    <s v="Q3"/>
    <x v="0"/>
  </r>
  <r>
    <s v="2019Q3"/>
    <x v="1"/>
    <n v="832198"/>
    <n v="2019"/>
    <s v="Q3"/>
    <x v="0"/>
  </r>
  <r>
    <s v="2019Q3"/>
    <x v="2"/>
    <n v="9852369"/>
    <n v="2019"/>
    <s v="Q3"/>
    <x v="0"/>
  </r>
  <r>
    <s v="2019Q3"/>
    <x v="3"/>
    <n v="116018"/>
    <n v="2019"/>
    <s v="Q3"/>
    <x v="0"/>
  </r>
  <r>
    <s v="2019Q3"/>
    <x v="4"/>
    <n v="259988"/>
    <n v="2019"/>
    <s v="Q3"/>
    <x v="0"/>
  </r>
  <r>
    <s v="2019Q3"/>
    <x v="5"/>
    <n v="536697"/>
    <n v="2019"/>
    <s v="Q3"/>
    <x v="0"/>
  </r>
  <r>
    <s v="2019Q4"/>
    <x v="0"/>
    <n v="8540952"/>
    <n v="2019"/>
    <s v="Q4"/>
    <x v="0"/>
  </r>
  <r>
    <s v="2019Q4"/>
    <x v="1"/>
    <n v="550423"/>
    <n v="2019"/>
    <s v="Q4"/>
    <x v="0"/>
  </r>
  <r>
    <s v="2019Q4"/>
    <x v="2"/>
    <n v="7385982"/>
    <n v="2019"/>
    <s v="Q4"/>
    <x v="0"/>
  </r>
  <r>
    <s v="2019Q4"/>
    <x v="3"/>
    <n v="82678"/>
    <n v="2019"/>
    <s v="Q4"/>
    <x v="0"/>
  </r>
  <r>
    <s v="2019Q4"/>
    <x v="4"/>
    <n v="180453"/>
    <n v="2019"/>
    <s v="Q4"/>
    <x v="0"/>
  </r>
  <r>
    <s v="2019Q4"/>
    <x v="5"/>
    <n v="341416"/>
    <n v="2019"/>
    <s v="Q4"/>
    <x v="0"/>
  </r>
  <r>
    <s v="2020Q1"/>
    <x v="0"/>
    <n v="5916477"/>
    <n v="2020"/>
    <s v="Q1"/>
    <x v="1"/>
  </r>
  <r>
    <s v="2020Q1"/>
    <x v="1"/>
    <n v="397387"/>
    <n v="2020"/>
    <s v="Q1"/>
    <x v="1"/>
  </r>
  <r>
    <s v="2020Q1"/>
    <x v="2"/>
    <n v="5139128"/>
    <n v="2020"/>
    <s v="Q1"/>
    <x v="1"/>
  </r>
  <r>
    <s v="2020Q1"/>
    <x v="3"/>
    <n v="55763"/>
    <n v="2020"/>
    <s v="Q1"/>
    <x v="1"/>
  </r>
  <r>
    <s v="2020Q1"/>
    <x v="4"/>
    <n v="107971"/>
    <n v="2020"/>
    <s v="Q1"/>
    <x v="1"/>
  </r>
  <r>
    <s v="2020Q1"/>
    <x v="5"/>
    <n v="216228"/>
    <n v="2020"/>
    <s v="Q1"/>
    <x v="1"/>
  </r>
  <r>
    <s v="2020Q2"/>
    <x v="0"/>
    <n v="164402"/>
    <n v="2020"/>
    <s v="Q2"/>
    <x v="1"/>
  </r>
  <r>
    <s v="2020Q2"/>
    <x v="1"/>
    <n v="7879"/>
    <n v="2020"/>
    <s v="Q2"/>
    <x v="1"/>
  </r>
  <r>
    <s v="2020Q2"/>
    <x v="2"/>
    <n v="155592"/>
    <n v="2020"/>
    <s v="Q2"/>
    <x v="1"/>
  </r>
  <r>
    <s v="2020Q2"/>
    <x v="3"/>
    <n v="808"/>
    <n v="2020"/>
    <s v="Q2"/>
    <x v="1"/>
  </r>
  <r>
    <s v="2020Q2"/>
    <x v="4"/>
    <n v="3"/>
    <n v="2020"/>
    <s v="Q2"/>
    <x v="1"/>
  </r>
  <r>
    <s v="2020Q2"/>
    <x v="5"/>
    <n v="120"/>
    <n v="2020"/>
    <s v="Q2"/>
    <x v="1"/>
  </r>
  <r>
    <s v="2020Q3"/>
    <x v="0"/>
    <n v="1453684"/>
    <n v="2020"/>
    <s v="Q3"/>
    <x v="1"/>
  </r>
  <r>
    <s v="2020Q3"/>
    <x v="1"/>
    <n v="90287"/>
    <n v="2020"/>
    <s v="Q3"/>
    <x v="1"/>
  </r>
  <r>
    <s v="2020Q3"/>
    <x v="2"/>
    <n v="1270411"/>
    <n v="2020"/>
    <s v="Q3"/>
    <x v="1"/>
  </r>
  <r>
    <s v="2020Q3"/>
    <x v="3"/>
    <n v="19968"/>
    <n v="2020"/>
    <s v="Q3"/>
    <x v="1"/>
  </r>
  <r>
    <s v="2020Q3"/>
    <x v="4"/>
    <n v="27513"/>
    <n v="2020"/>
    <s v="Q3"/>
    <x v="1"/>
  </r>
  <r>
    <s v="2020Q3"/>
    <x v="5"/>
    <n v="45505"/>
    <n v="2020"/>
    <s v="Q3"/>
    <x v="1"/>
  </r>
  <r>
    <s v="2020Q4"/>
    <x v="0"/>
    <n v="759119"/>
    <n v="2020"/>
    <s v="Q4"/>
    <x v="1"/>
  </r>
  <r>
    <s v="2020Q4"/>
    <x v="1"/>
    <n v="31461"/>
    <n v="2020"/>
    <s v="Q4"/>
    <x v="1"/>
  </r>
  <r>
    <s v="2020Q4"/>
    <x v="2"/>
    <n v="702109"/>
    <n v="2020"/>
    <s v="Q4"/>
    <x v="1"/>
  </r>
  <r>
    <s v="2020Q4"/>
    <x v="3"/>
    <n v="6420"/>
    <n v="2020"/>
    <s v="Q4"/>
    <x v="1"/>
  </r>
  <r>
    <s v="2020Q4"/>
    <x v="4"/>
    <n v="7048"/>
    <n v="2020"/>
    <s v="Q4"/>
    <x v="1"/>
  </r>
  <r>
    <s v="2020Q4"/>
    <x v="5"/>
    <n v="12081"/>
    <n v="2020"/>
    <s v="Q4"/>
    <x v="1"/>
  </r>
  <r>
    <s v="2021Q1"/>
    <x v="0"/>
    <n v="418969"/>
    <n v="2021"/>
    <s v="Q1"/>
    <x v="1"/>
  </r>
  <r>
    <s v="2021Q1"/>
    <x v="1"/>
    <n v="8926"/>
    <n v="2021"/>
    <s v="Q1"/>
    <x v="1"/>
  </r>
  <r>
    <s v="2021Q1"/>
    <x v="2"/>
    <n v="405112"/>
    <n v="2021"/>
    <s v="Q1"/>
    <x v="1"/>
  </r>
  <r>
    <s v="2021Q1"/>
    <x v="3"/>
    <n v="1988"/>
    <n v="2021"/>
    <s v="Q1"/>
    <x v="1"/>
  </r>
  <r>
    <s v="2021Q1"/>
    <x v="4"/>
    <n v="621"/>
    <n v="2021"/>
    <s v="Q1"/>
    <x v="1"/>
  </r>
  <r>
    <s v="2021Q1"/>
    <x v="5"/>
    <n v="2322"/>
    <n v="2021"/>
    <s v="Q1"/>
    <x v="1"/>
  </r>
  <r>
    <s v="2021Q2"/>
    <x v="0"/>
    <n v="596349"/>
    <n v="2021"/>
    <s v="Q2"/>
    <x v="1"/>
  </r>
  <r>
    <s v="2021Q2"/>
    <x v="1"/>
    <n v="24931"/>
    <n v="2021"/>
    <s v="Q2"/>
    <x v="1"/>
  </r>
  <r>
    <s v="2021Q2"/>
    <x v="2"/>
    <n v="554749"/>
    <n v="2021"/>
    <s v="Q2"/>
    <x v="1"/>
  </r>
  <r>
    <s v="2021Q2"/>
    <x v="3"/>
    <n v="4301"/>
    <n v="2021"/>
    <s v="Q2"/>
    <x v="1"/>
  </r>
  <r>
    <s v="2021Q2"/>
    <x v="4"/>
    <n v="2079"/>
    <n v="2021"/>
    <s v="Q2"/>
    <x v="1"/>
  </r>
  <r>
    <s v="2021Q2"/>
    <x v="5"/>
    <n v="10289"/>
    <n v="2021"/>
    <s v="Q2"/>
    <x v="1"/>
  </r>
  <r>
    <s v="2021Q3"/>
    <x v="0"/>
    <n v="3576508"/>
    <n v="2021"/>
    <s v="Q3"/>
    <x v="1"/>
  </r>
  <r>
    <s v="2021Q3"/>
    <x v="1"/>
    <n v="133809"/>
    <n v="2021"/>
    <s v="Q3"/>
    <x v="1"/>
  </r>
  <r>
    <s v="2021Q3"/>
    <x v="2"/>
    <n v="3202834"/>
    <n v="2021"/>
    <s v="Q3"/>
    <x v="1"/>
  </r>
  <r>
    <s v="2021Q3"/>
    <x v="3"/>
    <n v="45426"/>
    <n v="2021"/>
    <s v="Q3"/>
    <x v="1"/>
  </r>
  <r>
    <s v="2021Q3"/>
    <x v="4"/>
    <n v="69145"/>
    <n v="2021"/>
    <s v="Q3"/>
    <x v="1"/>
  </r>
  <r>
    <s v="2021Q3"/>
    <x v="5"/>
    <n v="125294"/>
    <n v="2021"/>
    <s v="Q3"/>
    <x v="1"/>
  </r>
  <r>
    <s v="2021Q4"/>
    <x v="0"/>
    <n v="4541051"/>
    <n v="2021"/>
    <s v="Q4"/>
    <x v="1"/>
  </r>
  <r>
    <s v="2021Q4"/>
    <x v="1"/>
    <n v="87349"/>
    <n v="2021"/>
    <s v="Q4"/>
    <x v="1"/>
  </r>
  <r>
    <s v="2021Q4"/>
    <x v="2"/>
    <n v="4103576"/>
    <n v="2021"/>
    <s v="Q4"/>
    <x v="1"/>
  </r>
  <r>
    <s v="2021Q4"/>
    <x v="3"/>
    <n v="63683"/>
    <n v="2021"/>
    <s v="Q4"/>
    <x v="1"/>
  </r>
  <r>
    <s v="2021Q4"/>
    <x v="4"/>
    <n v="102186"/>
    <n v="2021"/>
    <s v="Q4"/>
    <x v="1"/>
  </r>
  <r>
    <s v="2021Q4"/>
    <x v="5"/>
    <n v="184257"/>
    <n v="2021"/>
    <s v="Q4"/>
    <x v="1"/>
  </r>
  <r>
    <s v="2022Q1"/>
    <x v="0"/>
    <n v="4700322"/>
    <n v="2022"/>
    <s v="Q1"/>
    <x v="2"/>
  </r>
  <r>
    <s v="2022Q1"/>
    <x v="1"/>
    <n v="288323"/>
    <n v="2022"/>
    <s v="Q1"/>
    <x v="2"/>
  </r>
  <r>
    <s v="2022Q1"/>
    <x v="2"/>
    <n v="4099571"/>
    <n v="2022"/>
    <s v="Q1"/>
    <x v="2"/>
  </r>
  <r>
    <s v="2022Q1"/>
    <x v="3"/>
    <n v="44836"/>
    <n v="2022"/>
    <s v="Q1"/>
    <x v="2"/>
  </r>
  <r>
    <s v="2022Q1"/>
    <x v="4"/>
    <n v="86381"/>
    <n v="2022"/>
    <s v="Q1"/>
    <x v="2"/>
  </r>
  <r>
    <s v="2022Q1"/>
    <x v="5"/>
    <n v="181211"/>
    <n v="2022"/>
    <s v="Q1"/>
    <x v="2"/>
  </r>
  <r>
    <s v="2022Q2"/>
    <x v="0"/>
    <n v="9134970"/>
    <n v="2022"/>
    <s v="Q2"/>
    <x v="2"/>
  </r>
  <r>
    <s v="2022Q2"/>
    <x v="1"/>
    <n v="645215"/>
    <n v="2022"/>
    <s v="Q2"/>
    <x v="2"/>
  </r>
  <r>
    <s v="2022Q2"/>
    <x v="2"/>
    <n v="7779695"/>
    <n v="2022"/>
    <s v="Q2"/>
    <x v="2"/>
  </r>
  <r>
    <s v="2022Q2"/>
    <x v="3"/>
    <n v="102093"/>
    <n v="2022"/>
    <s v="Q2"/>
    <x v="2"/>
  </r>
  <r>
    <s v="2022Q2"/>
    <x v="4"/>
    <n v="200028"/>
    <n v="2022"/>
    <s v="Q2"/>
    <x v="2"/>
  </r>
  <r>
    <s v="2022Q2"/>
    <x v="5"/>
    <n v="407939"/>
    <n v="2022"/>
    <s v="Q2"/>
    <x v="2"/>
  </r>
  <r>
    <s v="2022Q3"/>
    <x v="0"/>
    <n v="10444239"/>
    <n v="2022"/>
    <s v="Q3"/>
    <x v="2"/>
  </r>
  <r>
    <s v="2022Q3"/>
    <x v="1"/>
    <n v="767806"/>
    <n v="2022"/>
    <s v="Q3"/>
    <x v="2"/>
  </r>
  <r>
    <s v="2022Q3"/>
    <x v="2"/>
    <n v="8840733"/>
    <n v="2022"/>
    <s v="Q3"/>
    <x v="2"/>
  </r>
  <r>
    <s v="2022Q3"/>
    <x v="3"/>
    <n v="118069"/>
    <n v="2022"/>
    <s v="Q3"/>
    <x v="2"/>
  </r>
  <r>
    <s v="2022Q3"/>
    <x v="4"/>
    <n v="252595"/>
    <n v="2022"/>
    <s v="Q3"/>
    <x v="2"/>
  </r>
  <r>
    <s v="2022Q3"/>
    <x v="5"/>
    <n v="465036"/>
    <n v="2022"/>
    <s v="Q3"/>
    <x v="2"/>
  </r>
  <r>
    <s v="2022Q4"/>
    <x v="0"/>
    <n v="8238809"/>
    <n v="2022"/>
    <s v="Q4"/>
    <x v="2"/>
  </r>
  <r>
    <s v="2022Q4"/>
    <x v="1"/>
    <n v="537111"/>
    <n v="2022"/>
    <s v="Q4"/>
    <x v="2"/>
  </r>
  <r>
    <s v="2022Q4"/>
    <x v="2"/>
    <n v="7073346"/>
    <n v="2022"/>
    <s v="Q4"/>
    <x v="2"/>
  </r>
  <r>
    <s v="2022Q4"/>
    <x v="3"/>
    <n v="90045"/>
    <n v="2022"/>
    <s v="Q4"/>
    <x v="2"/>
  </r>
  <r>
    <s v="2022Q4"/>
    <x v="4"/>
    <n v="170536"/>
    <n v="2022"/>
    <s v="Q4"/>
    <x v="2"/>
  </r>
  <r>
    <s v="2022Q4"/>
    <x v="5"/>
    <n v="367771"/>
    <n v="2022"/>
    <s v="Q4"/>
    <x v="2"/>
  </r>
  <r>
    <s v="2023Q1"/>
    <x v="0"/>
    <n v="7622484"/>
    <n v="2023"/>
    <s v="Q1"/>
    <x v="2"/>
  </r>
  <r>
    <s v="2023Q1"/>
    <x v="1"/>
    <n v="499021"/>
    <n v="2023"/>
    <s v="Q1"/>
    <x v="2"/>
  </r>
  <r>
    <s v="2023Q1"/>
    <x v="2"/>
    <n v="6589966"/>
    <n v="2023"/>
    <s v="Q1"/>
    <x v="2"/>
  </r>
  <r>
    <s v="2023Q1"/>
    <x v="3"/>
    <n v="72347"/>
    <n v="2023"/>
    <s v="Q1"/>
    <x v="2"/>
  </r>
  <r>
    <s v="2023Q1"/>
    <x v="4"/>
    <n v="132657"/>
    <n v="2023"/>
    <s v="Q1"/>
    <x v="2"/>
  </r>
  <r>
    <s v="2023Q1"/>
    <x v="5"/>
    <n v="328493"/>
    <n v="2023"/>
    <s v="Q1"/>
    <x v="2"/>
  </r>
  <r>
    <s v="2023Q2"/>
    <x v="0"/>
    <n v="10744701"/>
    <n v="2023"/>
    <s v="Q2"/>
    <x v="2"/>
  </r>
  <r>
    <s v="2023Q2"/>
    <x v="1"/>
    <n v="791720"/>
    <n v="2023"/>
    <s v="Q2"/>
    <x v="2"/>
  </r>
  <r>
    <s v="2023Q2"/>
    <x v="2"/>
    <n v="9058940"/>
    <n v="2023"/>
    <s v="Q2"/>
    <x v="2"/>
  </r>
  <r>
    <s v="2023Q2"/>
    <x v="3"/>
    <n v="117608"/>
    <n v="2023"/>
    <s v="Q2"/>
    <x v="2"/>
  </r>
  <r>
    <s v="2023Q2"/>
    <x v="4"/>
    <n v="230010"/>
    <n v="2023"/>
    <s v="Q2"/>
    <x v="2"/>
  </r>
  <r>
    <s v="2023Q2"/>
    <x v="5"/>
    <n v="546423"/>
    <n v="2023"/>
    <s v="Q2"/>
    <x v="2"/>
  </r>
  <r>
    <s v="2023Q3"/>
    <x v="0"/>
    <n v="11799615"/>
    <n v="2023"/>
    <s v="Q3"/>
    <x v="2"/>
  </r>
  <r>
    <s v="2023Q3"/>
    <x v="1"/>
    <n v="866942"/>
    <n v="2023"/>
    <s v="Q3"/>
    <x v="2"/>
  </r>
  <r>
    <s v="2023Q3"/>
    <x v="2"/>
    <n v="9929211"/>
    <n v="2023"/>
    <s v="Q3"/>
    <x v="2"/>
  </r>
  <r>
    <s v="2023Q3"/>
    <x v="3"/>
    <n v="133729"/>
    <n v="2023"/>
    <s v="Q3"/>
    <x v="2"/>
  </r>
  <r>
    <s v="2023Q3"/>
    <x v="4"/>
    <n v="268345"/>
    <n v="2023"/>
    <s v="Q3"/>
    <x v="2"/>
  </r>
  <r>
    <s v="2023Q3"/>
    <x v="5"/>
    <n v="601388"/>
    <n v="2023"/>
    <s v="Q3"/>
    <x v="2"/>
  </r>
  <r>
    <s v="2023Q4"/>
    <x v="0"/>
    <n v="9019601"/>
    <n v="2023"/>
    <s v="Q4"/>
    <x v="2"/>
  </r>
  <r>
    <s v="2023Q4"/>
    <x v="1"/>
    <n v="640341"/>
    <n v="2023"/>
    <s v="Q4"/>
    <x v="2"/>
  </r>
  <r>
    <s v="2023Q4"/>
    <x v="2"/>
    <n v="7684824"/>
    <n v="2023"/>
    <s v="Q4"/>
    <x v="2"/>
  </r>
  <r>
    <s v="2023Q4"/>
    <x v="3"/>
    <n v="90887"/>
    <n v="2023"/>
    <s v="Q4"/>
    <x v="2"/>
  </r>
  <r>
    <s v="2023Q4"/>
    <x v="4"/>
    <n v="182254"/>
    <n v="2023"/>
    <s v="Q4"/>
    <x v="2"/>
  </r>
  <r>
    <s v="2023Q4"/>
    <x v="5"/>
    <n v="421295"/>
    <n v="2023"/>
    <s v="Q4"/>
    <x v="2"/>
  </r>
  <r>
    <s v="2024Q1"/>
    <x v="0"/>
    <n v="8227159"/>
    <n v="2024"/>
    <s v="Q1"/>
    <x v="2"/>
  </r>
  <r>
    <s v="2024Q1"/>
    <x v="1"/>
    <n v="601989"/>
    <n v="2024"/>
    <s v="Q1"/>
    <x v="2"/>
  </r>
  <r>
    <s v="2024Q1"/>
    <x v="2"/>
    <n v="7025552"/>
    <n v="2024"/>
    <s v="Q1"/>
    <x v="2"/>
  </r>
  <r>
    <s v="2024Q1"/>
    <x v="3"/>
    <n v="71277"/>
    <n v="2024"/>
    <s v="Q1"/>
    <x v="2"/>
  </r>
  <r>
    <s v="2024Q1"/>
    <x v="4"/>
    <n v="158595"/>
    <n v="2024"/>
    <s v="Q1"/>
    <x v="2"/>
  </r>
  <r>
    <s v="2024Q1"/>
    <x v="5"/>
    <n v="369746"/>
    <n v="2024"/>
    <s v="Q1"/>
    <x v="2"/>
  </r>
  <r>
    <s v="2024Q2"/>
    <x v="0"/>
    <n v="11231664"/>
    <n v="2024"/>
    <s v="Q2"/>
    <x v="2"/>
  </r>
  <r>
    <s v="2024Q2"/>
    <x v="1"/>
    <n v="832446"/>
    <n v="2024"/>
    <s v="Q2"/>
    <x v="2"/>
  </r>
  <r>
    <s v="2024Q2"/>
    <x v="2"/>
    <n v="9479228"/>
    <n v="2024"/>
    <s v="Q2"/>
    <x v="2"/>
  </r>
  <r>
    <s v="2024Q2"/>
    <x v="3"/>
    <n v="113094"/>
    <n v="2024"/>
    <s v="Q2"/>
    <x v="2"/>
  </r>
  <r>
    <s v="2024Q2"/>
    <x v="4"/>
    <n v="230783"/>
    <n v="2024"/>
    <s v="Q2"/>
    <x v="2"/>
  </r>
  <r>
    <s v="2024Q2"/>
    <x v="5"/>
    <n v="576113"/>
    <n v="2024"/>
    <s v="Q2"/>
    <x v="2"/>
  </r>
  <r>
    <s v="2024Q3"/>
    <x v="0"/>
    <n v="12364310"/>
    <n v="2024"/>
    <s v="Q3"/>
    <x v="2"/>
  </r>
  <r>
    <s v="2024Q3"/>
    <x v="1"/>
    <n v="963202"/>
    <n v="2024"/>
    <s v="Q3"/>
    <x v="2"/>
  </r>
  <r>
    <s v="2024Q3"/>
    <x v="2"/>
    <n v="10369522"/>
    <n v="2024"/>
    <s v="Q3"/>
    <x v="2"/>
  </r>
  <r>
    <s v="2024Q3"/>
    <x v="3"/>
    <n v="135505"/>
    <n v="2024"/>
    <s v="Q3"/>
    <x v="2"/>
  </r>
  <r>
    <s v="2024Q3"/>
    <x v="4"/>
    <n v="253641"/>
    <n v="2024"/>
    <s v="Q3"/>
    <x v="2"/>
  </r>
  <r>
    <s v="2024Q3"/>
    <x v="5"/>
    <n v="642440"/>
    <n v="2024"/>
    <s v="Q3"/>
    <x v="2"/>
  </r>
  <r>
    <s v="2024Q4"/>
    <x v="0"/>
    <n v="9164632"/>
    <n v="2024"/>
    <s v="Q4"/>
    <x v="2"/>
  </r>
  <r>
    <s v="2024Q4"/>
    <x v="1"/>
    <n v="670812"/>
    <n v="2024"/>
    <s v="Q4"/>
    <x v="2"/>
  </r>
  <r>
    <s v="2024Q4"/>
    <x v="2"/>
    <n v="7748958"/>
    <n v="2024"/>
    <s v="Q4"/>
    <x v="2"/>
  </r>
  <r>
    <s v="2024Q4"/>
    <x v="3"/>
    <n v="92158"/>
    <n v="2024"/>
    <s v="Q4"/>
    <x v="2"/>
  </r>
  <r>
    <s v="2024Q4"/>
    <x v="4"/>
    <n v="190172"/>
    <n v="2024"/>
    <s v="Q4"/>
    <x v="2"/>
  </r>
  <r>
    <s v="2024Q4"/>
    <x v="5"/>
    <n v="462532"/>
    <n v="2024"/>
    <s v="Q4"/>
    <x v="2"/>
  </r>
  <r>
    <s v="2025Q1"/>
    <x v="0"/>
    <n v="8207430"/>
    <n v="2025"/>
    <s v="Q1"/>
    <x v="2"/>
  </r>
  <r>
    <s v="2025Q1"/>
    <x v="1"/>
    <n v="648356"/>
    <n v="2025"/>
    <s v="Q1"/>
    <x v="2"/>
  </r>
  <r>
    <s v="2025Q1"/>
    <x v="2"/>
    <n v="6933757"/>
    <n v="2025"/>
    <s v="Q1"/>
    <x v="2"/>
  </r>
  <r>
    <s v="2025Q1"/>
    <x v="3"/>
    <n v="72175"/>
    <n v="2025"/>
    <s v="Q1"/>
    <x v="2"/>
  </r>
  <r>
    <s v="2025Q1"/>
    <x v="4"/>
    <n v="168444"/>
    <n v="2025"/>
    <s v="Q1"/>
    <x v="2"/>
  </r>
  <r>
    <s v="2025Q1"/>
    <x v="5"/>
    <n v="384698"/>
    <n v="2025"/>
    <s v="Q1"/>
    <x v="2"/>
  </r>
  <r>
    <s v="2025Q2"/>
    <x v="0"/>
    <n v="12042620"/>
    <n v="2025"/>
    <s v="Q2"/>
    <x v="2"/>
  </r>
  <r>
    <s v="2025Q2"/>
    <x v="1"/>
    <n v="993437"/>
    <n v="2025"/>
    <s v="Q2"/>
    <x v="2"/>
  </r>
  <r>
    <s v="2025Q2"/>
    <x v="2"/>
    <n v="10017651"/>
    <n v="2025"/>
    <s v="Q2"/>
    <x v="2"/>
  </r>
  <r>
    <s v="2025Q2"/>
    <x v="3"/>
    <n v="126964"/>
    <n v="2025"/>
    <s v="Q2"/>
    <x v="2"/>
  </r>
  <r>
    <s v="2025Q2"/>
    <x v="4"/>
    <n v="271057"/>
    <n v="2025"/>
    <s v="Q2"/>
    <x v="2"/>
  </r>
  <r>
    <s v="2025Q2"/>
    <x v="5"/>
    <n v="633511"/>
    <n v="2025"/>
    <s v="Q2"/>
    <x v="2"/>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r>
    <m/>
    <x v="6"/>
    <m/>
    <m/>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2FD98-3B65-4485-9692-403EE7C7647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irports">
  <location ref="B63:C85" firstHeaderRow="1" firstDataRow="1" firstDataCol="1"/>
  <pivotFields count="6">
    <pivotField showAll="0"/>
    <pivotField axis="axisRow" showAll="0">
      <items count="8">
        <item x="0"/>
        <item x="1"/>
        <item x="2"/>
        <item x="3"/>
        <item x="4"/>
        <item x="5"/>
        <item x="6"/>
        <item t="default"/>
      </items>
    </pivotField>
    <pivotField dataField="1" showAll="0"/>
    <pivotField showAll="0"/>
    <pivotField showAll="0"/>
    <pivotField axis="axisRow" showAll="0">
      <items count="5">
        <item x="1"/>
        <item x="2"/>
        <item x="0"/>
        <item h="1" x="3"/>
        <item t="default"/>
      </items>
    </pivotField>
  </pivotFields>
  <rowFields count="2">
    <field x="5"/>
    <field x="1"/>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Average of VALUE (B)" fld="2" subtotal="average" baseField="5" baseItem="0"/>
  </dataFields>
  <formats count="35">
    <format dxfId="231">
      <pivotArea collapsedLevelsAreSubtotals="1" fieldPosition="0">
        <references count="1">
          <reference field="5" count="1">
            <x v="0"/>
          </reference>
        </references>
      </pivotArea>
    </format>
    <format dxfId="230">
      <pivotArea collapsedLevelsAreSubtotals="1" fieldPosition="0">
        <references count="2">
          <reference field="1" count="6">
            <x v="0"/>
            <x v="1"/>
            <x v="2"/>
            <x v="3"/>
            <x v="4"/>
            <x v="5"/>
          </reference>
          <reference field="5" count="1" selected="0">
            <x v="0"/>
          </reference>
        </references>
      </pivotArea>
    </format>
    <format dxfId="229">
      <pivotArea collapsedLevelsAreSubtotals="1" fieldPosition="0">
        <references count="1">
          <reference field="5" count="1">
            <x v="1"/>
          </reference>
        </references>
      </pivotArea>
    </format>
    <format dxfId="228">
      <pivotArea collapsedLevelsAreSubtotals="1" fieldPosition="0">
        <references count="2">
          <reference field="1" count="6">
            <x v="0"/>
            <x v="1"/>
            <x v="2"/>
            <x v="3"/>
            <x v="4"/>
            <x v="5"/>
          </reference>
          <reference field="5" count="1" selected="0">
            <x v="1"/>
          </reference>
        </references>
      </pivotArea>
    </format>
    <format dxfId="227">
      <pivotArea collapsedLevelsAreSubtotals="1" fieldPosition="0">
        <references count="1">
          <reference field="5" count="1">
            <x v="2"/>
          </reference>
        </references>
      </pivotArea>
    </format>
    <format dxfId="226">
      <pivotArea collapsedLevelsAreSubtotals="1" fieldPosition="0">
        <references count="2">
          <reference field="1" count="6">
            <x v="0"/>
            <x v="1"/>
            <x v="2"/>
            <x v="3"/>
            <x v="4"/>
            <x v="5"/>
          </reference>
          <reference field="5" count="1" selected="0">
            <x v="2"/>
          </reference>
        </references>
      </pivotArea>
    </format>
    <format dxfId="225">
      <pivotArea dataOnly="0" labelOnly="1" fieldPosition="0">
        <references count="1">
          <reference field="5" count="0"/>
        </references>
      </pivotArea>
    </format>
    <format dxfId="224">
      <pivotArea dataOnly="0" labelOnly="1" fieldPosition="0">
        <references count="2">
          <reference field="1" count="6">
            <x v="0"/>
            <x v="1"/>
            <x v="2"/>
            <x v="3"/>
            <x v="4"/>
            <x v="5"/>
          </reference>
          <reference field="5" count="1" selected="0">
            <x v="0"/>
          </reference>
        </references>
      </pivotArea>
    </format>
    <format dxfId="223">
      <pivotArea dataOnly="0" labelOnly="1" fieldPosition="0">
        <references count="2">
          <reference field="1" count="6">
            <x v="0"/>
            <x v="1"/>
            <x v="2"/>
            <x v="3"/>
            <x v="4"/>
            <x v="5"/>
          </reference>
          <reference field="5" count="1" selected="0">
            <x v="1"/>
          </reference>
        </references>
      </pivotArea>
    </format>
    <format dxfId="222">
      <pivotArea dataOnly="0" labelOnly="1" fieldPosition="0">
        <references count="2">
          <reference field="1" count="6">
            <x v="0"/>
            <x v="1"/>
            <x v="2"/>
            <x v="3"/>
            <x v="4"/>
            <x v="5"/>
          </reference>
          <reference field="5" count="1" selected="0">
            <x v="2"/>
          </reference>
        </references>
      </pivotArea>
    </format>
    <format dxfId="221">
      <pivotArea field="5" type="button" dataOnly="0" labelOnly="1" outline="0" axis="axisRow" fieldPosition="0"/>
    </format>
    <format dxfId="220">
      <pivotArea dataOnly="0" labelOnly="1" outline="0" axis="axisValues" fieldPosition="0"/>
    </format>
    <format dxfId="219">
      <pivotArea grandRow="1" outline="0" collapsedLevelsAreSubtotals="1" fieldPosition="0"/>
    </format>
    <format dxfId="218">
      <pivotArea dataOnly="0" labelOnly="1" grandRow="1" outline="0" fieldPosition="0"/>
    </format>
    <format dxfId="217">
      <pivotArea dataOnly="0" labelOnly="1" fieldPosition="0">
        <references count="1">
          <reference field="5" count="1">
            <x v="0"/>
          </reference>
        </references>
      </pivotArea>
    </format>
    <format dxfId="216">
      <pivotArea dataOnly="0" labelOnly="1" fieldPosition="0">
        <references count="1">
          <reference field="5" count="1">
            <x v="1"/>
          </reference>
        </references>
      </pivotArea>
    </format>
    <format dxfId="215">
      <pivotArea dataOnly="0" labelOnly="1" fieldPosition="0">
        <references count="1">
          <reference field="5" count="1">
            <x v="2"/>
          </reference>
        </references>
      </pivotArea>
    </format>
    <format dxfId="214">
      <pivotArea type="all" dataOnly="0" outline="0" fieldPosition="0"/>
    </format>
    <format dxfId="213">
      <pivotArea outline="0" collapsedLevelsAreSubtotals="1" fieldPosition="0"/>
    </format>
    <format dxfId="212">
      <pivotArea field="5" type="button" dataOnly="0" labelOnly="1" outline="0" axis="axisRow" fieldPosition="0"/>
    </format>
    <format dxfId="211">
      <pivotArea dataOnly="0" labelOnly="1" fieldPosition="0">
        <references count="1">
          <reference field="5" count="0"/>
        </references>
      </pivotArea>
    </format>
    <format dxfId="210">
      <pivotArea dataOnly="0" labelOnly="1" grandRow="1" outline="0" fieldPosition="0"/>
    </format>
    <format dxfId="209">
      <pivotArea dataOnly="0" labelOnly="1" fieldPosition="0">
        <references count="2">
          <reference field="1" count="6">
            <x v="0"/>
            <x v="1"/>
            <x v="2"/>
            <x v="3"/>
            <x v="4"/>
            <x v="5"/>
          </reference>
          <reference field="5" count="1" selected="0">
            <x v="0"/>
          </reference>
        </references>
      </pivotArea>
    </format>
    <format dxfId="208">
      <pivotArea dataOnly="0" labelOnly="1" fieldPosition="0">
        <references count="2">
          <reference field="1" count="6">
            <x v="0"/>
            <x v="1"/>
            <x v="2"/>
            <x v="3"/>
            <x v="4"/>
            <x v="5"/>
          </reference>
          <reference field="5" count="1" selected="0">
            <x v="1"/>
          </reference>
        </references>
      </pivotArea>
    </format>
    <format dxfId="207">
      <pivotArea dataOnly="0" labelOnly="1" fieldPosition="0">
        <references count="2">
          <reference field="1" count="6">
            <x v="0"/>
            <x v="1"/>
            <x v="2"/>
            <x v="3"/>
            <x v="4"/>
            <x v="5"/>
          </reference>
          <reference field="5" count="1" selected="0">
            <x v="2"/>
          </reference>
        </references>
      </pivotArea>
    </format>
    <format dxfId="206">
      <pivotArea dataOnly="0" labelOnly="1" outline="0" axis="axisValues" fieldPosition="0"/>
    </format>
    <format dxfId="205">
      <pivotArea type="all" dataOnly="0" outline="0" fieldPosition="0"/>
    </format>
    <format dxfId="204">
      <pivotArea outline="0" collapsedLevelsAreSubtotals="1" fieldPosition="0"/>
    </format>
    <format dxfId="203">
      <pivotArea field="5" type="button" dataOnly="0" labelOnly="1" outline="0" axis="axisRow" fieldPosition="0"/>
    </format>
    <format dxfId="202">
      <pivotArea dataOnly="0" labelOnly="1" fieldPosition="0">
        <references count="1">
          <reference field="5" count="0"/>
        </references>
      </pivotArea>
    </format>
    <format dxfId="201">
      <pivotArea dataOnly="0" labelOnly="1" grandRow="1" outline="0" fieldPosition="0"/>
    </format>
    <format dxfId="200">
      <pivotArea dataOnly="0" labelOnly="1" fieldPosition="0">
        <references count="2">
          <reference field="1" count="6">
            <x v="0"/>
            <x v="1"/>
            <x v="2"/>
            <x v="3"/>
            <x v="4"/>
            <x v="5"/>
          </reference>
          <reference field="5" count="1" selected="0">
            <x v="0"/>
          </reference>
        </references>
      </pivotArea>
    </format>
    <format dxfId="199">
      <pivotArea dataOnly="0" labelOnly="1" fieldPosition="0">
        <references count="2">
          <reference field="1" count="6">
            <x v="0"/>
            <x v="1"/>
            <x v="2"/>
            <x v="3"/>
            <x v="4"/>
            <x v="5"/>
          </reference>
          <reference field="5" count="1" selected="0">
            <x v="1"/>
          </reference>
        </references>
      </pivotArea>
    </format>
    <format dxfId="198">
      <pivotArea dataOnly="0" labelOnly="1" fieldPosition="0">
        <references count="2">
          <reference field="1" count="6">
            <x v="0"/>
            <x v="1"/>
            <x v="2"/>
            <x v="3"/>
            <x v="4"/>
            <x v="5"/>
          </reference>
          <reference field="5" count="1" selected="0">
            <x v="2"/>
          </reference>
        </references>
      </pivotArea>
    </format>
    <format dxfId="1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064998-09DB-4316-9A4C-76B51418F3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irports">
  <location ref="AL62:AM84" firstHeaderRow="1" firstDataRow="1" firstDataCol="1"/>
  <pivotFields count="6">
    <pivotField showAll="0"/>
    <pivotField axis="axisRow" showAll="0">
      <items count="8">
        <item x="0"/>
        <item x="1"/>
        <item x="2"/>
        <item x="3"/>
        <item x="4"/>
        <item x="5"/>
        <item x="6"/>
        <item t="default"/>
      </items>
    </pivotField>
    <pivotField dataField="1" showAll="0"/>
    <pivotField showAll="0"/>
    <pivotField showAll="0"/>
    <pivotField axis="axisRow" showAll="0">
      <items count="5">
        <item x="1"/>
        <item x="2"/>
        <item x="0"/>
        <item h="1" x="3"/>
        <item t="default"/>
      </items>
    </pivotField>
  </pivotFields>
  <rowFields count="2">
    <field x="5"/>
    <field x="1"/>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Items count="1">
    <i/>
  </colItems>
  <dataFields count="1">
    <dataField name="Average of VALUE (B)" fld="2" subtotal="average" baseField="5" baseItem="0"/>
  </dataFields>
  <formats count="17">
    <format dxfId="196">
      <pivotArea collapsedLevelsAreSubtotals="1" fieldPosition="0">
        <references count="1">
          <reference field="5" count="1">
            <x v="0"/>
          </reference>
        </references>
      </pivotArea>
    </format>
    <format dxfId="195">
      <pivotArea collapsedLevelsAreSubtotals="1" fieldPosition="0">
        <references count="2">
          <reference field="1" count="6">
            <x v="0"/>
            <x v="1"/>
            <x v="2"/>
            <x v="3"/>
            <x v="4"/>
            <x v="5"/>
          </reference>
          <reference field="5" count="1" selected="0">
            <x v="0"/>
          </reference>
        </references>
      </pivotArea>
    </format>
    <format dxfId="194">
      <pivotArea collapsedLevelsAreSubtotals="1" fieldPosition="0">
        <references count="1">
          <reference field="5" count="1">
            <x v="1"/>
          </reference>
        </references>
      </pivotArea>
    </format>
    <format dxfId="193">
      <pivotArea collapsedLevelsAreSubtotals="1" fieldPosition="0">
        <references count="2">
          <reference field="1" count="6">
            <x v="0"/>
            <x v="1"/>
            <x v="2"/>
            <x v="3"/>
            <x v="4"/>
            <x v="5"/>
          </reference>
          <reference field="5" count="1" selected="0">
            <x v="1"/>
          </reference>
        </references>
      </pivotArea>
    </format>
    <format dxfId="192">
      <pivotArea collapsedLevelsAreSubtotals="1" fieldPosition="0">
        <references count="1">
          <reference field="5" count="1">
            <x v="2"/>
          </reference>
        </references>
      </pivotArea>
    </format>
    <format dxfId="191">
      <pivotArea collapsedLevelsAreSubtotals="1" fieldPosition="0">
        <references count="2">
          <reference field="1" count="6">
            <x v="0"/>
            <x v="1"/>
            <x v="2"/>
            <x v="3"/>
            <x v="4"/>
            <x v="5"/>
          </reference>
          <reference field="5" count="1" selected="0">
            <x v="2"/>
          </reference>
        </references>
      </pivotArea>
    </format>
    <format dxfId="190">
      <pivotArea dataOnly="0" labelOnly="1" fieldPosition="0">
        <references count="1">
          <reference field="5" count="0"/>
        </references>
      </pivotArea>
    </format>
    <format dxfId="189">
      <pivotArea dataOnly="0" labelOnly="1" fieldPosition="0">
        <references count="2">
          <reference field="1" count="6">
            <x v="0"/>
            <x v="1"/>
            <x v="2"/>
            <x v="3"/>
            <x v="4"/>
            <x v="5"/>
          </reference>
          <reference field="5" count="1" selected="0">
            <x v="0"/>
          </reference>
        </references>
      </pivotArea>
    </format>
    <format dxfId="188">
      <pivotArea dataOnly="0" labelOnly="1" fieldPosition="0">
        <references count="2">
          <reference field="1" count="6">
            <x v="0"/>
            <x v="1"/>
            <x v="2"/>
            <x v="3"/>
            <x v="4"/>
            <x v="5"/>
          </reference>
          <reference field="5" count="1" selected="0">
            <x v="1"/>
          </reference>
        </references>
      </pivotArea>
    </format>
    <format dxfId="187">
      <pivotArea dataOnly="0" labelOnly="1" fieldPosition="0">
        <references count="2">
          <reference field="1" count="6">
            <x v="0"/>
            <x v="1"/>
            <x v="2"/>
            <x v="3"/>
            <x v="4"/>
            <x v="5"/>
          </reference>
          <reference field="5" count="1" selected="0">
            <x v="2"/>
          </reference>
        </references>
      </pivotArea>
    </format>
    <format dxfId="186">
      <pivotArea field="5" type="button" dataOnly="0" labelOnly="1" outline="0" axis="axisRow" fieldPosition="0"/>
    </format>
    <format dxfId="185">
      <pivotArea dataOnly="0" labelOnly="1" outline="0" axis="axisValues" fieldPosition="0"/>
    </format>
    <format dxfId="184">
      <pivotArea grandRow="1" outline="0" collapsedLevelsAreSubtotals="1" fieldPosition="0"/>
    </format>
    <format dxfId="183">
      <pivotArea dataOnly="0" labelOnly="1" grandRow="1" outline="0" fieldPosition="0"/>
    </format>
    <format dxfId="182">
      <pivotArea dataOnly="0" labelOnly="1" fieldPosition="0">
        <references count="1">
          <reference field="5" count="1">
            <x v="0"/>
          </reference>
        </references>
      </pivotArea>
    </format>
    <format dxfId="181">
      <pivotArea dataOnly="0" labelOnly="1" fieldPosition="0">
        <references count="1">
          <reference field="5" count="1">
            <x v="1"/>
          </reference>
        </references>
      </pivotArea>
    </format>
    <format dxfId="180">
      <pivotArea dataOnly="0" labelOnly="1" fieldPosition="0">
        <references count="1">
          <reference field="5"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ports_in_Ireland" xr10:uid="{4F498103-4423-4E6E-9F04-F31F53AF9D57}" sourceName="Airports in Ireland">
  <pivotTables>
    <pivotTable tabId="18" name="PivotTable2"/>
  </pivotTables>
  <data>
    <tabular pivotCacheId="1091726628">
      <items count="7">
        <i x="0" s="1"/>
        <i x="1" s="1"/>
        <i x="2" s="1"/>
        <i x="3" s="1"/>
        <i x="4" s="1"/>
        <i x="5"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ports in Ireland" xr10:uid="{306E7BAC-72D8-4EBE-B2FF-916E31582A9D}" cache="Slicer_Airports_in_Ireland" caption="Airports in Irel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Unpivoted" displayName="Unpivoted" ref="A1:D955" totalsRowShown="0">
  <autoFilter ref="A1:D955" xr:uid="{00000000-0009-0000-0100-000001000000}"/>
  <tableColumns count="4">
    <tableColumn id="1" xr3:uid="{00000000-0010-0000-0000-000001000000}" name="Statistic Label"/>
    <tableColumn id="2" xr3:uid="{00000000-0010-0000-0000-000002000000}" name="Quarter"/>
    <tableColumn id="3" xr3:uid="{00000000-0010-0000-0000-000003000000}" name="Airports in Ireland"/>
    <tableColumn id="5" xr3:uid="{00000000-0010-0000-0000-000005000000}" name="VAL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4F652F-EFB6-4D2D-AE52-720AE1145962}" name="Table2" displayName="Table2" ref="A3:B8" totalsRowShown="0" headerRowDxfId="1" dataDxfId="0" tableBorderDxfId="179">
  <autoFilter ref="A3:B8" xr:uid="{B44F652F-EFB6-4D2D-AE52-720AE1145962}"/>
  <tableColumns count="2">
    <tableColumn id="1" xr3:uid="{531D0FB5-F21F-42DF-9341-9797748521A1}" name="MEAN OF EACH AIRPORT:" dataDxfId="3"/>
    <tableColumn id="2" xr3:uid="{EE9DAFF2-98BE-4F38-ABC7-62A377658214}" name="Value"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cso.ie/" TargetMode="External"/><Relationship Id="rId1" Type="http://schemas.openxmlformats.org/officeDocument/2006/relationships/hyperlink" Target="https://ws.cso.ie/public/api.restful/PxStat.Data.Cube_API.ReadDataset/TAQ01/XLSX/2007/e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8:B39"/>
  <sheetViews>
    <sheetView workbookViewId="0">
      <selection activeCell="F26" sqref="F26"/>
    </sheetView>
  </sheetViews>
  <sheetFormatPr defaultRowHeight="14.4" x14ac:dyDescent="0.3"/>
  <cols>
    <col min="1" max="1" width="20.6640625" customWidth="1"/>
    <col min="2" max="2" width="100.6640625" customWidth="1"/>
  </cols>
  <sheetData>
    <row r="8" spans="1:2" ht="17.399999999999999" x14ac:dyDescent="0.35">
      <c r="A8" s="1" t="s">
        <v>0</v>
      </c>
      <c r="B8" s="2"/>
    </row>
    <row r="9" spans="1:2" x14ac:dyDescent="0.3">
      <c r="A9" s="3" t="s">
        <v>1</v>
      </c>
      <c r="B9" t="s">
        <v>2</v>
      </c>
    </row>
    <row r="10" spans="1:2" x14ac:dyDescent="0.3">
      <c r="A10" s="3" t="s">
        <v>3</v>
      </c>
      <c r="B10" t="s">
        <v>4</v>
      </c>
    </row>
    <row r="11" spans="1:2" x14ac:dyDescent="0.3">
      <c r="A11" s="3" t="s">
        <v>5</v>
      </c>
      <c r="B11" t="s">
        <v>6</v>
      </c>
    </row>
    <row r="12" spans="1:2" x14ac:dyDescent="0.3">
      <c r="A12" s="3" t="s">
        <v>7</v>
      </c>
      <c r="B12" t="s">
        <v>8</v>
      </c>
    </row>
    <row r="13" spans="1:2" x14ac:dyDescent="0.3">
      <c r="A13" s="3" t="s">
        <v>9</v>
      </c>
      <c r="B13" s="4"/>
    </row>
    <row r="14" spans="1:2" x14ac:dyDescent="0.3">
      <c r="A14" s="3" t="s">
        <v>10</v>
      </c>
      <c r="B14" s="5" t="s">
        <v>11</v>
      </c>
    </row>
    <row r="16" spans="1:2" ht="17.399999999999999" x14ac:dyDescent="0.35">
      <c r="A16" s="1" t="s">
        <v>12</v>
      </c>
      <c r="B16" s="2"/>
    </row>
    <row r="17" spans="1:2" x14ac:dyDescent="0.3">
      <c r="A17" s="3" t="s">
        <v>1</v>
      </c>
      <c r="B17" t="s">
        <v>13</v>
      </c>
    </row>
    <row r="18" spans="1:2" x14ac:dyDescent="0.3">
      <c r="A18" s="3" t="s">
        <v>3</v>
      </c>
      <c r="B18" t="s">
        <v>14</v>
      </c>
    </row>
    <row r="20" spans="1:2" ht="17.399999999999999" x14ac:dyDescent="0.35">
      <c r="A20" s="1" t="s">
        <v>15</v>
      </c>
      <c r="B20" s="2"/>
    </row>
    <row r="21" spans="1:2" x14ac:dyDescent="0.3">
      <c r="A21" s="3" t="s">
        <v>3</v>
      </c>
      <c r="B21" t="s">
        <v>16</v>
      </c>
    </row>
    <row r="22" spans="1:2" x14ac:dyDescent="0.3">
      <c r="A22" s="3" t="s">
        <v>17</v>
      </c>
      <c r="B22" t="s">
        <v>18</v>
      </c>
    </row>
    <row r="23" spans="1:2" x14ac:dyDescent="0.3">
      <c r="A23" s="3" t="s">
        <v>19</v>
      </c>
      <c r="B23" t="s">
        <v>20</v>
      </c>
    </row>
    <row r="25" spans="1:2" ht="17.399999999999999" x14ac:dyDescent="0.35">
      <c r="A25" s="1" t="s">
        <v>21</v>
      </c>
      <c r="B25" s="2"/>
    </row>
    <row r="26" spans="1:2" x14ac:dyDescent="0.3">
      <c r="A26" s="3" t="s">
        <v>1</v>
      </c>
      <c r="B26" t="s">
        <v>22</v>
      </c>
    </row>
    <row r="27" spans="1:2" x14ac:dyDescent="0.3">
      <c r="A27" s="3" t="s">
        <v>3</v>
      </c>
      <c r="B27" t="s">
        <v>23</v>
      </c>
    </row>
    <row r="28" spans="1:2" x14ac:dyDescent="0.3">
      <c r="A28" s="3" t="s">
        <v>10</v>
      </c>
      <c r="B28" s="5" t="s">
        <v>24</v>
      </c>
    </row>
    <row r="30" spans="1:2" ht="17.399999999999999" x14ac:dyDescent="0.35">
      <c r="A30" s="1" t="s">
        <v>25</v>
      </c>
      <c r="B30" s="2"/>
    </row>
    <row r="31" spans="1:2" x14ac:dyDescent="0.3">
      <c r="A31" s="3" t="s">
        <v>26</v>
      </c>
      <c r="B31" t="s">
        <v>27</v>
      </c>
    </row>
    <row r="32" spans="1:2" x14ac:dyDescent="0.3">
      <c r="A32" s="3" t="s">
        <v>28</v>
      </c>
      <c r="B32" t="s">
        <v>29</v>
      </c>
    </row>
    <row r="33" spans="1:2" x14ac:dyDescent="0.3">
      <c r="A33" s="3" t="s">
        <v>30</v>
      </c>
      <c r="B33" t="s">
        <v>29</v>
      </c>
    </row>
    <row r="34" spans="1:2" x14ac:dyDescent="0.3">
      <c r="A34" s="3" t="s">
        <v>31</v>
      </c>
      <c r="B34" t="s">
        <v>29</v>
      </c>
    </row>
    <row r="35" spans="1:2" x14ac:dyDescent="0.3">
      <c r="A35" s="3" t="s">
        <v>32</v>
      </c>
      <c r="B35" t="s">
        <v>29</v>
      </c>
    </row>
    <row r="37" spans="1:2" ht="17.399999999999999" x14ac:dyDescent="0.35">
      <c r="A37" s="1" t="s">
        <v>33</v>
      </c>
      <c r="B37" s="2"/>
    </row>
    <row r="38" spans="1:2" x14ac:dyDescent="0.3">
      <c r="A38" s="3" t="s">
        <v>34</v>
      </c>
      <c r="B38" t="s">
        <v>35</v>
      </c>
    </row>
    <row r="39" spans="1:2" x14ac:dyDescent="0.3">
      <c r="A39" s="3" t="s">
        <v>36</v>
      </c>
      <c r="B39" t="s">
        <v>37</v>
      </c>
    </row>
  </sheetData>
  <hyperlinks>
    <hyperlink ref="B14" r:id="rId1" xr:uid="{00000000-0004-0000-0000-000000000000}"/>
    <hyperlink ref="B28" r:id="rId2" xr:uid="{00000000-0004-0000-0000-000001000000}"/>
  </hyperlinks>
  <pageMargins left="0.75" right="0.75" top="0.75" bottom="0.5" header="0.5" footer="0.75"/>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1EA00-7797-4E82-995D-4493C4DEFB66}">
  <dimension ref="A1:N955"/>
  <sheetViews>
    <sheetView showGridLines="0" topLeftCell="B1" workbookViewId="0">
      <selection activeCell="I17" sqref="I17"/>
    </sheetView>
  </sheetViews>
  <sheetFormatPr defaultRowHeight="14.4" x14ac:dyDescent="0.3"/>
  <cols>
    <col min="1" max="1" width="10.33203125" style="118" customWidth="1"/>
    <col min="2" max="2" width="19.109375" style="118" customWidth="1"/>
    <col min="3" max="3" width="20.44140625" style="118" customWidth="1"/>
    <col min="4" max="4" width="8.88671875" style="118"/>
    <col min="5" max="5" width="17.88671875" style="118" customWidth="1"/>
    <col min="6" max="6" width="12.44140625" style="118" customWidth="1"/>
    <col min="7" max="7" width="10.5546875" bestFit="1" customWidth="1"/>
    <col min="8" max="8" width="13.5546875" bestFit="1" customWidth="1"/>
    <col min="9" max="9" width="18" bestFit="1" customWidth="1"/>
    <col min="10" max="10" width="15.5546875" bestFit="1" customWidth="1"/>
    <col min="12" max="12" width="14.33203125" bestFit="1" customWidth="1"/>
    <col min="13" max="14" width="13.77734375" bestFit="1" customWidth="1"/>
  </cols>
  <sheetData>
    <row r="1" spans="1:14" x14ac:dyDescent="0.3">
      <c r="A1" s="112" t="s">
        <v>38</v>
      </c>
      <c r="B1" s="112" t="s">
        <v>39</v>
      </c>
      <c r="C1" s="112" t="s">
        <v>40</v>
      </c>
      <c r="D1" s="112" t="s">
        <v>41</v>
      </c>
      <c r="E1" s="112" t="s">
        <v>42</v>
      </c>
      <c r="F1" s="112" t="s">
        <v>43</v>
      </c>
    </row>
    <row r="2" spans="1:14" x14ac:dyDescent="0.3">
      <c r="A2" s="113" t="s">
        <v>44</v>
      </c>
      <c r="B2" s="113" t="s">
        <v>45</v>
      </c>
      <c r="C2" s="113">
        <v>4546115</v>
      </c>
      <c r="D2" s="114">
        <f>VALUE(LEFT(A2,4))</f>
        <v>2012</v>
      </c>
      <c r="E2" s="114" t="str">
        <f t="shared" ref="E2:E3" si="0">RIGHT(A2,2)</f>
        <v>Q1</v>
      </c>
      <c r="F2" s="115" t="str">
        <f>IF(D2&lt;=2019,"Pre-COVID",IF(D2&lt;=2021,"COVID","Post-COVID"))</f>
        <v>Pre-COVID</v>
      </c>
    </row>
    <row r="3" spans="1:14" x14ac:dyDescent="0.3">
      <c r="A3" s="113" t="s">
        <v>44</v>
      </c>
      <c r="B3" s="113" t="s">
        <v>46</v>
      </c>
      <c r="C3" s="113">
        <v>432766</v>
      </c>
      <c r="D3" s="114">
        <f t="shared" ref="D3" si="1">VALUE(LEFT(A3,4))</f>
        <v>2012</v>
      </c>
      <c r="E3" s="114" t="str">
        <f t="shared" si="0"/>
        <v>Q1</v>
      </c>
      <c r="F3" s="115" t="str">
        <f t="shared" ref="F3" si="2">IF(D3&lt;=2019,"Pre-COVID",IF(D3&lt;=2021,"COVID","Post-COVID"))</f>
        <v>Pre-COVID</v>
      </c>
    </row>
    <row r="4" spans="1:14" x14ac:dyDescent="0.3">
      <c r="A4" s="113" t="s">
        <v>44</v>
      </c>
      <c r="B4" s="113" t="s">
        <v>47</v>
      </c>
      <c r="C4" s="113">
        <v>3740432</v>
      </c>
      <c r="D4" s="114">
        <f t="shared" ref="D4:D67" si="3">VALUE(LEFT(A4,4))</f>
        <v>2012</v>
      </c>
      <c r="E4" s="114" t="str">
        <f t="shared" ref="E4:E67" si="4">RIGHT(A4,2)</f>
        <v>Q1</v>
      </c>
      <c r="F4" s="115" t="str">
        <f t="shared" ref="F4:F67" si="5">IF(D4&lt;=2019,"Pre-COVID",IF(D4&lt;=2021,"COVID","Post-COVID"))</f>
        <v>Pre-COVID</v>
      </c>
    </row>
    <row r="5" spans="1:14" x14ac:dyDescent="0.3">
      <c r="A5" s="113" t="s">
        <v>44</v>
      </c>
      <c r="B5" s="113" t="s">
        <v>48</v>
      </c>
      <c r="C5" s="113">
        <v>49557</v>
      </c>
      <c r="D5" s="114">
        <f t="shared" si="3"/>
        <v>2012</v>
      </c>
      <c r="E5" s="114" t="str">
        <f t="shared" si="4"/>
        <v>Q1</v>
      </c>
      <c r="F5" s="115" t="str">
        <f t="shared" si="5"/>
        <v>Pre-COVID</v>
      </c>
    </row>
    <row r="6" spans="1:14" x14ac:dyDescent="0.3">
      <c r="A6" s="113" t="s">
        <v>44</v>
      </c>
      <c r="B6" s="113" t="s">
        <v>49</v>
      </c>
      <c r="C6" s="113">
        <v>107936</v>
      </c>
      <c r="D6" s="114">
        <f t="shared" si="3"/>
        <v>2012</v>
      </c>
      <c r="E6" s="114" t="str">
        <f t="shared" si="4"/>
        <v>Q1</v>
      </c>
      <c r="F6" s="115" t="str">
        <f t="shared" si="5"/>
        <v>Pre-COVID</v>
      </c>
    </row>
    <row r="7" spans="1:14" ht="15" thickBot="1" x14ac:dyDescent="0.35">
      <c r="A7" s="113" t="s">
        <v>44</v>
      </c>
      <c r="B7" s="113" t="s">
        <v>50</v>
      </c>
      <c r="C7" s="113">
        <v>215424</v>
      </c>
      <c r="D7" s="114">
        <f t="shared" si="3"/>
        <v>2012</v>
      </c>
      <c r="E7" s="114" t="str">
        <f t="shared" si="4"/>
        <v>Q1</v>
      </c>
      <c r="F7" s="115" t="str">
        <f t="shared" si="5"/>
        <v>Pre-COVID</v>
      </c>
    </row>
    <row r="8" spans="1:14" ht="15" thickBot="1" x14ac:dyDescent="0.35">
      <c r="A8" s="113" t="s">
        <v>51</v>
      </c>
      <c r="B8" s="113" t="s">
        <v>45</v>
      </c>
      <c r="C8" s="113">
        <v>6478251</v>
      </c>
      <c r="D8" s="114">
        <f t="shared" si="3"/>
        <v>2012</v>
      </c>
      <c r="E8" s="114" t="str">
        <f t="shared" si="4"/>
        <v>Q2</v>
      </c>
      <c r="F8" s="115" t="str">
        <f t="shared" si="5"/>
        <v>Pre-COVID</v>
      </c>
      <c r="I8" s="82" t="str" cm="1">
        <f t="array" ref="I8:I13">_xlfn.UNIQUE($B$2:$B$100)</f>
        <v>All main airports</v>
      </c>
      <c r="L8" s="156" t="str" cm="1">
        <f t="array" ref="L8:L13">_xlfn.UNIQUE(B2:B325)</f>
        <v>All main airports</v>
      </c>
      <c r="M8" s="157">
        <f>N8</f>
        <v>396525211</v>
      </c>
      <c r="N8" s="158">
        <f t="shared" ref="N8:N13" si="6">SUMIFS(C:C,B:B,B2)</f>
        <v>396525211</v>
      </c>
    </row>
    <row r="9" spans="1:14" ht="15" thickBot="1" x14ac:dyDescent="0.35">
      <c r="A9" s="113" t="s">
        <v>51</v>
      </c>
      <c r="B9" s="113" t="s">
        <v>46</v>
      </c>
      <c r="C9" s="113">
        <v>648839</v>
      </c>
      <c r="D9" s="114">
        <f t="shared" si="3"/>
        <v>2012</v>
      </c>
      <c r="E9" s="114" t="str">
        <f t="shared" si="4"/>
        <v>Q2</v>
      </c>
      <c r="F9" s="115" t="str">
        <f t="shared" si="5"/>
        <v>Pre-COVID</v>
      </c>
      <c r="I9" t="str">
        <v>Cork</v>
      </c>
      <c r="L9" s="159" t="str">
        <v>Cork</v>
      </c>
      <c r="M9" s="134">
        <f t="shared" ref="M9:M13" si="7">N9</f>
        <v>28819719</v>
      </c>
      <c r="N9" s="160">
        <f t="shared" si="6"/>
        <v>28819719</v>
      </c>
    </row>
    <row r="10" spans="1:14" ht="15" thickBot="1" x14ac:dyDescent="0.35">
      <c r="A10" s="113" t="s">
        <v>51</v>
      </c>
      <c r="B10" s="113" t="s">
        <v>47</v>
      </c>
      <c r="C10" s="113">
        <v>5180478</v>
      </c>
      <c r="D10" s="114">
        <f t="shared" si="3"/>
        <v>2012</v>
      </c>
      <c r="E10" s="114" t="str">
        <f t="shared" si="4"/>
        <v>Q2</v>
      </c>
      <c r="F10" s="115" t="str">
        <f t="shared" si="5"/>
        <v>Pre-COVID</v>
      </c>
      <c r="I10" t="str">
        <v>Dublin</v>
      </c>
      <c r="L10" s="159" t="str">
        <v>Dublin</v>
      </c>
      <c r="M10" s="134">
        <f t="shared" si="7"/>
        <v>335290263</v>
      </c>
      <c r="N10" s="160">
        <f t="shared" si="6"/>
        <v>335290263</v>
      </c>
    </row>
    <row r="11" spans="1:14" ht="15" thickBot="1" x14ac:dyDescent="0.35">
      <c r="A11" s="113" t="s">
        <v>51</v>
      </c>
      <c r="B11" s="113" t="s">
        <v>48</v>
      </c>
      <c r="C11" s="113">
        <v>81536</v>
      </c>
      <c r="D11" s="114">
        <f t="shared" si="3"/>
        <v>2012</v>
      </c>
      <c r="E11" s="114" t="str">
        <f t="shared" si="4"/>
        <v>Q2</v>
      </c>
      <c r="F11" s="115" t="str">
        <f t="shared" si="5"/>
        <v>Pre-COVID</v>
      </c>
      <c r="I11" t="str">
        <v>Kerry</v>
      </c>
      <c r="L11" s="159" t="str">
        <v>Kerry</v>
      </c>
      <c r="M11" s="134">
        <f t="shared" si="7"/>
        <v>4165947</v>
      </c>
      <c r="N11" s="160">
        <f t="shared" si="6"/>
        <v>4165947</v>
      </c>
    </row>
    <row r="12" spans="1:14" ht="15" thickBot="1" x14ac:dyDescent="0.35">
      <c r="A12" s="113" t="s">
        <v>51</v>
      </c>
      <c r="B12" s="113" t="s">
        <v>49</v>
      </c>
      <c r="C12" s="113">
        <v>199427</v>
      </c>
      <c r="D12" s="114">
        <f t="shared" si="3"/>
        <v>2012</v>
      </c>
      <c r="E12" s="114" t="str">
        <f t="shared" si="4"/>
        <v>Q2</v>
      </c>
      <c r="F12" s="115" t="str">
        <f t="shared" si="5"/>
        <v>Pre-COVID</v>
      </c>
      <c r="I12" t="str">
        <v>Knock</v>
      </c>
      <c r="L12" s="159" t="str">
        <v>Knock</v>
      </c>
      <c r="M12" s="134">
        <f t="shared" si="7"/>
        <v>8904056</v>
      </c>
      <c r="N12" s="160">
        <f t="shared" si="6"/>
        <v>8904056</v>
      </c>
    </row>
    <row r="13" spans="1:14" ht="15" thickBot="1" x14ac:dyDescent="0.35">
      <c r="A13" s="113" t="s">
        <v>51</v>
      </c>
      <c r="B13" s="113" t="s">
        <v>50</v>
      </c>
      <c r="C13" s="113">
        <v>367971</v>
      </c>
      <c r="D13" s="114">
        <f t="shared" si="3"/>
        <v>2012</v>
      </c>
      <c r="E13" s="114" t="str">
        <f t="shared" si="4"/>
        <v>Q2</v>
      </c>
      <c r="F13" s="115" t="str">
        <f t="shared" si="5"/>
        <v>Pre-COVID</v>
      </c>
      <c r="I13" t="str">
        <v>Shannon</v>
      </c>
      <c r="L13" s="161" t="str">
        <v>Shannon</v>
      </c>
      <c r="M13" s="162">
        <f t="shared" si="7"/>
        <v>19345226</v>
      </c>
      <c r="N13" s="163">
        <f t="shared" si="6"/>
        <v>19345226</v>
      </c>
    </row>
    <row r="14" spans="1:14" x14ac:dyDescent="0.3">
      <c r="A14" s="113" t="s">
        <v>52</v>
      </c>
      <c r="B14" s="113" t="s">
        <v>45</v>
      </c>
      <c r="C14" s="113">
        <v>7367068</v>
      </c>
      <c r="D14" s="114">
        <f t="shared" si="3"/>
        <v>2012</v>
      </c>
      <c r="E14" s="114" t="str">
        <f t="shared" si="4"/>
        <v>Q3</v>
      </c>
      <c r="F14" s="115" t="str">
        <f t="shared" si="5"/>
        <v>Pre-COVID</v>
      </c>
    </row>
    <row r="15" spans="1:14" x14ac:dyDescent="0.3">
      <c r="A15" s="113" t="s">
        <v>52</v>
      </c>
      <c r="B15" s="113" t="s">
        <v>46</v>
      </c>
      <c r="C15" s="113">
        <v>754985</v>
      </c>
      <c r="D15" s="114">
        <f t="shared" si="3"/>
        <v>2012</v>
      </c>
      <c r="E15" s="114" t="str">
        <f t="shared" si="4"/>
        <v>Q3</v>
      </c>
      <c r="F15" s="115" t="str">
        <f t="shared" si="5"/>
        <v>Pre-COVID</v>
      </c>
    </row>
    <row r="16" spans="1:14" x14ac:dyDescent="0.3">
      <c r="A16" s="113" t="s">
        <v>52</v>
      </c>
      <c r="B16" s="113" t="s">
        <v>47</v>
      </c>
      <c r="C16" s="113">
        <v>5851043</v>
      </c>
      <c r="D16" s="114">
        <f t="shared" si="3"/>
        <v>2012</v>
      </c>
      <c r="E16" s="114" t="str">
        <f t="shared" si="4"/>
        <v>Q3</v>
      </c>
      <c r="F16" s="115" t="str">
        <f t="shared" si="5"/>
        <v>Pre-COVID</v>
      </c>
    </row>
    <row r="17" spans="1:6" x14ac:dyDescent="0.3">
      <c r="A17" s="113" t="s">
        <v>52</v>
      </c>
      <c r="B17" s="113" t="s">
        <v>48</v>
      </c>
      <c r="C17" s="113">
        <v>90438</v>
      </c>
      <c r="D17" s="114">
        <f t="shared" si="3"/>
        <v>2012</v>
      </c>
      <c r="E17" s="114" t="str">
        <f t="shared" si="4"/>
        <v>Q3</v>
      </c>
      <c r="F17" s="115" t="str">
        <f t="shared" si="5"/>
        <v>Pre-COVID</v>
      </c>
    </row>
    <row r="18" spans="1:6" x14ac:dyDescent="0.3">
      <c r="A18" s="113" t="s">
        <v>52</v>
      </c>
      <c r="B18" s="113" t="s">
        <v>49</v>
      </c>
      <c r="C18" s="113">
        <v>230297</v>
      </c>
      <c r="D18" s="114">
        <f t="shared" si="3"/>
        <v>2012</v>
      </c>
      <c r="E18" s="114" t="str">
        <f t="shared" si="4"/>
        <v>Q3</v>
      </c>
      <c r="F18" s="115" t="str">
        <f t="shared" si="5"/>
        <v>Pre-COVID</v>
      </c>
    </row>
    <row r="19" spans="1:6" x14ac:dyDescent="0.3">
      <c r="A19" s="113" t="s">
        <v>52</v>
      </c>
      <c r="B19" s="113" t="s">
        <v>50</v>
      </c>
      <c r="C19" s="113">
        <v>440305</v>
      </c>
      <c r="D19" s="114">
        <f t="shared" si="3"/>
        <v>2012</v>
      </c>
      <c r="E19" s="114" t="str">
        <f t="shared" si="4"/>
        <v>Q3</v>
      </c>
      <c r="F19" s="115" t="str">
        <f t="shared" si="5"/>
        <v>Pre-COVID</v>
      </c>
    </row>
    <row r="20" spans="1:6" x14ac:dyDescent="0.3">
      <c r="A20" s="113" t="s">
        <v>53</v>
      </c>
      <c r="B20" s="113" t="s">
        <v>45</v>
      </c>
      <c r="C20" s="113">
        <v>5282939</v>
      </c>
      <c r="D20" s="114">
        <f t="shared" si="3"/>
        <v>2012</v>
      </c>
      <c r="E20" s="114" t="str">
        <f t="shared" si="4"/>
        <v>Q4</v>
      </c>
      <c r="F20" s="115" t="str">
        <f t="shared" si="5"/>
        <v>Pre-COVID</v>
      </c>
    </row>
    <row r="21" spans="1:6" x14ac:dyDescent="0.3">
      <c r="A21" s="113" t="s">
        <v>53</v>
      </c>
      <c r="B21" s="113" t="s">
        <v>46</v>
      </c>
      <c r="C21" s="113">
        <v>497053</v>
      </c>
      <c r="D21" s="114">
        <f t="shared" si="3"/>
        <v>2012</v>
      </c>
      <c r="E21" s="114" t="str">
        <f t="shared" si="4"/>
        <v>Q4</v>
      </c>
      <c r="F21" s="115" t="str">
        <f t="shared" si="5"/>
        <v>Pre-COVID</v>
      </c>
    </row>
    <row r="22" spans="1:6" x14ac:dyDescent="0.3">
      <c r="A22" s="113" t="s">
        <v>53</v>
      </c>
      <c r="B22" s="113" t="s">
        <v>47</v>
      </c>
      <c r="C22" s="113">
        <v>4318828</v>
      </c>
      <c r="D22" s="114">
        <f t="shared" si="3"/>
        <v>2012</v>
      </c>
      <c r="E22" s="114" t="str">
        <f t="shared" si="4"/>
        <v>Q4</v>
      </c>
      <c r="F22" s="115" t="str">
        <f t="shared" si="5"/>
        <v>Pre-COVID</v>
      </c>
    </row>
    <row r="23" spans="1:6" x14ac:dyDescent="0.3">
      <c r="A23" s="113" t="s">
        <v>53</v>
      </c>
      <c r="B23" s="113" t="s">
        <v>48</v>
      </c>
      <c r="C23" s="113">
        <v>64911</v>
      </c>
      <c r="D23" s="114">
        <f t="shared" si="3"/>
        <v>2012</v>
      </c>
      <c r="E23" s="114" t="str">
        <f t="shared" si="4"/>
        <v>Q4</v>
      </c>
      <c r="F23" s="115" t="str">
        <f t="shared" si="5"/>
        <v>Pre-COVID</v>
      </c>
    </row>
    <row r="24" spans="1:6" x14ac:dyDescent="0.3">
      <c r="A24" s="113" t="s">
        <v>53</v>
      </c>
      <c r="B24" s="113" t="s">
        <v>49</v>
      </c>
      <c r="C24" s="113">
        <v>139708</v>
      </c>
      <c r="D24" s="114">
        <f t="shared" si="3"/>
        <v>2012</v>
      </c>
      <c r="E24" s="114" t="str">
        <f t="shared" si="4"/>
        <v>Q4</v>
      </c>
      <c r="F24" s="115" t="str">
        <f t="shared" si="5"/>
        <v>Pre-COVID</v>
      </c>
    </row>
    <row r="25" spans="1:6" x14ac:dyDescent="0.3">
      <c r="A25" s="113" t="s">
        <v>53</v>
      </c>
      <c r="B25" s="113" t="s">
        <v>50</v>
      </c>
      <c r="C25" s="113">
        <v>262439</v>
      </c>
      <c r="D25" s="114">
        <f t="shared" si="3"/>
        <v>2012</v>
      </c>
      <c r="E25" s="114" t="str">
        <f t="shared" si="4"/>
        <v>Q4</v>
      </c>
      <c r="F25" s="115" t="str">
        <f t="shared" si="5"/>
        <v>Pre-COVID</v>
      </c>
    </row>
    <row r="26" spans="1:6" x14ac:dyDescent="0.3">
      <c r="A26" s="113" t="s">
        <v>54</v>
      </c>
      <c r="B26" s="113" t="s">
        <v>45</v>
      </c>
      <c r="C26" s="113">
        <v>4676120</v>
      </c>
      <c r="D26" s="114">
        <f t="shared" si="3"/>
        <v>2013</v>
      </c>
      <c r="E26" s="114" t="str">
        <f t="shared" si="4"/>
        <v>Q1</v>
      </c>
      <c r="F26" s="115" t="str">
        <f t="shared" si="5"/>
        <v>Pre-COVID</v>
      </c>
    </row>
    <row r="27" spans="1:6" x14ac:dyDescent="0.3">
      <c r="A27" s="113" t="s">
        <v>54</v>
      </c>
      <c r="B27" s="113" t="s">
        <v>46</v>
      </c>
      <c r="C27" s="113">
        <v>436568</v>
      </c>
      <c r="D27" s="114">
        <f t="shared" si="3"/>
        <v>2013</v>
      </c>
      <c r="E27" s="114" t="str">
        <f t="shared" si="4"/>
        <v>Q1</v>
      </c>
      <c r="F27" s="115" t="str">
        <f t="shared" si="5"/>
        <v>Pre-COVID</v>
      </c>
    </row>
    <row r="28" spans="1:6" x14ac:dyDescent="0.3">
      <c r="A28" s="113" t="s">
        <v>54</v>
      </c>
      <c r="B28" s="113" t="s">
        <v>47</v>
      </c>
      <c r="C28" s="113">
        <v>3874988</v>
      </c>
      <c r="D28" s="114">
        <f t="shared" si="3"/>
        <v>2013</v>
      </c>
      <c r="E28" s="114" t="str">
        <f t="shared" si="4"/>
        <v>Q1</v>
      </c>
      <c r="F28" s="115" t="str">
        <f t="shared" si="5"/>
        <v>Pre-COVID</v>
      </c>
    </row>
    <row r="29" spans="1:6" x14ac:dyDescent="0.3">
      <c r="A29" s="113" t="s">
        <v>54</v>
      </c>
      <c r="B29" s="113" t="s">
        <v>48</v>
      </c>
      <c r="C29" s="113">
        <v>50391</v>
      </c>
      <c r="D29" s="114">
        <f t="shared" si="3"/>
        <v>2013</v>
      </c>
      <c r="E29" s="114" t="str">
        <f t="shared" si="4"/>
        <v>Q1</v>
      </c>
      <c r="F29" s="115" t="str">
        <f t="shared" si="5"/>
        <v>Pre-COVID</v>
      </c>
    </row>
    <row r="30" spans="1:6" x14ac:dyDescent="0.3">
      <c r="A30" s="113" t="s">
        <v>54</v>
      </c>
      <c r="B30" s="113" t="s">
        <v>49</v>
      </c>
      <c r="C30" s="113">
        <v>110780</v>
      </c>
      <c r="D30" s="114">
        <f t="shared" si="3"/>
        <v>2013</v>
      </c>
      <c r="E30" s="114" t="str">
        <f t="shared" si="4"/>
        <v>Q1</v>
      </c>
      <c r="F30" s="115" t="str">
        <f t="shared" si="5"/>
        <v>Pre-COVID</v>
      </c>
    </row>
    <row r="31" spans="1:6" x14ac:dyDescent="0.3">
      <c r="A31" s="113" t="s">
        <v>54</v>
      </c>
      <c r="B31" s="113" t="s">
        <v>50</v>
      </c>
      <c r="C31" s="113">
        <v>203393</v>
      </c>
      <c r="D31" s="114">
        <f t="shared" si="3"/>
        <v>2013</v>
      </c>
      <c r="E31" s="114" t="str">
        <f t="shared" si="4"/>
        <v>Q1</v>
      </c>
      <c r="F31" s="115" t="str">
        <f t="shared" si="5"/>
        <v>Pre-COVID</v>
      </c>
    </row>
    <row r="32" spans="1:6" x14ac:dyDescent="0.3">
      <c r="A32" s="113" t="s">
        <v>55</v>
      </c>
      <c r="B32" s="113" t="s">
        <v>45</v>
      </c>
      <c r="C32" s="113">
        <v>6747049</v>
      </c>
      <c r="D32" s="114">
        <f t="shared" si="3"/>
        <v>2013</v>
      </c>
      <c r="E32" s="114" t="str">
        <f t="shared" si="4"/>
        <v>Q2</v>
      </c>
      <c r="F32" s="115" t="str">
        <f t="shared" si="5"/>
        <v>Pre-COVID</v>
      </c>
    </row>
    <row r="33" spans="1:6" x14ac:dyDescent="0.3">
      <c r="A33" s="113" t="s">
        <v>55</v>
      </c>
      <c r="B33" s="113" t="s">
        <v>46</v>
      </c>
      <c r="C33" s="113">
        <v>634674</v>
      </c>
      <c r="D33" s="114">
        <f t="shared" si="3"/>
        <v>2013</v>
      </c>
      <c r="E33" s="114" t="str">
        <f t="shared" si="4"/>
        <v>Q2</v>
      </c>
      <c r="F33" s="115" t="str">
        <f t="shared" si="5"/>
        <v>Pre-COVID</v>
      </c>
    </row>
    <row r="34" spans="1:6" x14ac:dyDescent="0.3">
      <c r="A34" s="113" t="s">
        <v>55</v>
      </c>
      <c r="B34" s="113" t="s">
        <v>47</v>
      </c>
      <c r="C34" s="113">
        <v>5460037</v>
      </c>
      <c r="D34" s="114">
        <f t="shared" si="3"/>
        <v>2013</v>
      </c>
      <c r="E34" s="114" t="str">
        <f t="shared" si="4"/>
        <v>Q2</v>
      </c>
      <c r="F34" s="115" t="str">
        <f t="shared" si="5"/>
        <v>Pre-COVID</v>
      </c>
    </row>
    <row r="35" spans="1:6" x14ac:dyDescent="0.3">
      <c r="A35" s="113" t="s">
        <v>55</v>
      </c>
      <c r="B35" s="113" t="s">
        <v>48</v>
      </c>
      <c r="C35" s="113">
        <v>89225</v>
      </c>
      <c r="D35" s="114">
        <f t="shared" si="3"/>
        <v>2013</v>
      </c>
      <c r="E35" s="114" t="str">
        <f t="shared" si="4"/>
        <v>Q2</v>
      </c>
      <c r="F35" s="115" t="str">
        <f t="shared" si="5"/>
        <v>Pre-COVID</v>
      </c>
    </row>
    <row r="36" spans="1:6" x14ac:dyDescent="0.3">
      <c r="A36" s="113" t="s">
        <v>55</v>
      </c>
      <c r="B36" s="113" t="s">
        <v>49</v>
      </c>
      <c r="C36" s="113">
        <v>189501</v>
      </c>
      <c r="D36" s="114">
        <f t="shared" si="3"/>
        <v>2013</v>
      </c>
      <c r="E36" s="114" t="str">
        <f t="shared" si="4"/>
        <v>Q2</v>
      </c>
      <c r="F36" s="115" t="str">
        <f t="shared" si="5"/>
        <v>Pre-COVID</v>
      </c>
    </row>
    <row r="37" spans="1:6" x14ac:dyDescent="0.3">
      <c r="A37" s="113" t="s">
        <v>55</v>
      </c>
      <c r="B37" s="113" t="s">
        <v>50</v>
      </c>
      <c r="C37" s="113">
        <v>373612</v>
      </c>
      <c r="D37" s="114">
        <f t="shared" si="3"/>
        <v>2013</v>
      </c>
      <c r="E37" s="114" t="str">
        <f t="shared" si="4"/>
        <v>Q2</v>
      </c>
      <c r="F37" s="115" t="str">
        <f t="shared" si="5"/>
        <v>Pre-COVID</v>
      </c>
    </row>
    <row r="38" spans="1:6" x14ac:dyDescent="0.3">
      <c r="A38" s="113" t="s">
        <v>56</v>
      </c>
      <c r="B38" s="113" t="s">
        <v>45</v>
      </c>
      <c r="C38" s="113">
        <v>7719407</v>
      </c>
      <c r="D38" s="114">
        <f t="shared" si="3"/>
        <v>2013</v>
      </c>
      <c r="E38" s="114" t="str">
        <f t="shared" si="4"/>
        <v>Q3</v>
      </c>
      <c r="F38" s="115" t="str">
        <f t="shared" si="5"/>
        <v>Pre-COVID</v>
      </c>
    </row>
    <row r="39" spans="1:6" x14ac:dyDescent="0.3">
      <c r="A39" s="113" t="s">
        <v>56</v>
      </c>
      <c r="B39" s="113" t="s">
        <v>46</v>
      </c>
      <c r="C39" s="113">
        <v>713739</v>
      </c>
      <c r="D39" s="114">
        <f t="shared" si="3"/>
        <v>2013</v>
      </c>
      <c r="E39" s="114" t="str">
        <f t="shared" si="4"/>
        <v>Q3</v>
      </c>
      <c r="F39" s="115" t="str">
        <f t="shared" si="5"/>
        <v>Pre-COVID</v>
      </c>
    </row>
    <row r="40" spans="1:6" x14ac:dyDescent="0.3">
      <c r="A40" s="113" t="s">
        <v>56</v>
      </c>
      <c r="B40" s="113" t="s">
        <v>47</v>
      </c>
      <c r="C40" s="113">
        <v>6211891</v>
      </c>
      <c r="D40" s="114">
        <f t="shared" si="3"/>
        <v>2013</v>
      </c>
      <c r="E40" s="114" t="str">
        <f t="shared" si="4"/>
        <v>Q3</v>
      </c>
      <c r="F40" s="115" t="str">
        <f t="shared" si="5"/>
        <v>Pre-COVID</v>
      </c>
    </row>
    <row r="41" spans="1:6" x14ac:dyDescent="0.3">
      <c r="A41" s="113" t="s">
        <v>56</v>
      </c>
      <c r="B41" s="113" t="s">
        <v>48</v>
      </c>
      <c r="C41" s="113">
        <v>100314</v>
      </c>
      <c r="D41" s="114">
        <f t="shared" si="3"/>
        <v>2013</v>
      </c>
      <c r="E41" s="114" t="str">
        <f t="shared" si="4"/>
        <v>Q3</v>
      </c>
      <c r="F41" s="115" t="str">
        <f t="shared" si="5"/>
        <v>Pre-COVID</v>
      </c>
    </row>
    <row r="42" spans="1:6" x14ac:dyDescent="0.3">
      <c r="A42" s="113" t="s">
        <v>56</v>
      </c>
      <c r="B42" s="113" t="s">
        <v>49</v>
      </c>
      <c r="C42" s="113">
        <v>227388</v>
      </c>
      <c r="D42" s="114">
        <f t="shared" si="3"/>
        <v>2013</v>
      </c>
      <c r="E42" s="114" t="str">
        <f t="shared" si="4"/>
        <v>Q3</v>
      </c>
      <c r="F42" s="115" t="str">
        <f t="shared" si="5"/>
        <v>Pre-COVID</v>
      </c>
    </row>
    <row r="43" spans="1:6" x14ac:dyDescent="0.3">
      <c r="A43" s="113" t="s">
        <v>56</v>
      </c>
      <c r="B43" s="113" t="s">
        <v>50</v>
      </c>
      <c r="C43" s="113">
        <v>466075</v>
      </c>
      <c r="D43" s="114">
        <f t="shared" si="3"/>
        <v>2013</v>
      </c>
      <c r="E43" s="114" t="str">
        <f t="shared" si="4"/>
        <v>Q3</v>
      </c>
      <c r="F43" s="115" t="str">
        <f t="shared" si="5"/>
        <v>Pre-COVID</v>
      </c>
    </row>
    <row r="44" spans="1:6" x14ac:dyDescent="0.3">
      <c r="A44" s="113" t="s">
        <v>57</v>
      </c>
      <c r="B44" s="113" t="s">
        <v>45</v>
      </c>
      <c r="C44" s="113">
        <v>5538476</v>
      </c>
      <c r="D44" s="114">
        <f t="shared" si="3"/>
        <v>2013</v>
      </c>
      <c r="E44" s="114" t="str">
        <f t="shared" si="4"/>
        <v>Q4</v>
      </c>
      <c r="F44" s="115" t="str">
        <f t="shared" si="5"/>
        <v>Pre-COVID</v>
      </c>
    </row>
    <row r="45" spans="1:6" x14ac:dyDescent="0.3">
      <c r="A45" s="113" t="s">
        <v>57</v>
      </c>
      <c r="B45" s="113" t="s">
        <v>46</v>
      </c>
      <c r="C45" s="113">
        <v>467655</v>
      </c>
      <c r="D45" s="114">
        <f t="shared" si="3"/>
        <v>2013</v>
      </c>
      <c r="E45" s="114" t="str">
        <f t="shared" si="4"/>
        <v>Q4</v>
      </c>
      <c r="F45" s="115" t="str">
        <f t="shared" si="5"/>
        <v>Pre-COVID</v>
      </c>
    </row>
    <row r="46" spans="1:6" x14ac:dyDescent="0.3">
      <c r="A46" s="113" t="s">
        <v>57</v>
      </c>
      <c r="B46" s="113" t="s">
        <v>47</v>
      </c>
      <c r="C46" s="113">
        <v>4601658</v>
      </c>
      <c r="D46" s="114">
        <f t="shared" si="3"/>
        <v>2013</v>
      </c>
      <c r="E46" s="114" t="str">
        <f t="shared" si="4"/>
        <v>Q4</v>
      </c>
      <c r="F46" s="115" t="str">
        <f t="shared" si="5"/>
        <v>Pre-COVID</v>
      </c>
    </row>
    <row r="47" spans="1:6" x14ac:dyDescent="0.3">
      <c r="A47" s="113" t="s">
        <v>57</v>
      </c>
      <c r="B47" s="113" t="s">
        <v>48</v>
      </c>
      <c r="C47" s="113">
        <v>66112</v>
      </c>
      <c r="D47" s="114">
        <f t="shared" si="3"/>
        <v>2013</v>
      </c>
      <c r="E47" s="114" t="str">
        <f t="shared" si="4"/>
        <v>Q4</v>
      </c>
      <c r="F47" s="115" t="str">
        <f t="shared" si="5"/>
        <v>Pre-COVID</v>
      </c>
    </row>
    <row r="48" spans="1:6" x14ac:dyDescent="0.3">
      <c r="A48" s="113" t="s">
        <v>57</v>
      </c>
      <c r="B48" s="113" t="s">
        <v>49</v>
      </c>
      <c r="C48" s="113">
        <v>137889</v>
      </c>
      <c r="D48" s="114">
        <f t="shared" si="3"/>
        <v>2013</v>
      </c>
      <c r="E48" s="114" t="str">
        <f t="shared" si="4"/>
        <v>Q4</v>
      </c>
      <c r="F48" s="115" t="str">
        <f t="shared" si="5"/>
        <v>Pre-COVID</v>
      </c>
    </row>
    <row r="49" spans="1:6" x14ac:dyDescent="0.3">
      <c r="A49" s="113" t="s">
        <v>57</v>
      </c>
      <c r="B49" s="113" t="s">
        <v>50</v>
      </c>
      <c r="C49" s="113">
        <v>265162</v>
      </c>
      <c r="D49" s="114">
        <f t="shared" si="3"/>
        <v>2013</v>
      </c>
      <c r="E49" s="114" t="str">
        <f t="shared" si="4"/>
        <v>Q4</v>
      </c>
      <c r="F49" s="115" t="str">
        <f t="shared" si="5"/>
        <v>Pre-COVID</v>
      </c>
    </row>
    <row r="50" spans="1:6" x14ac:dyDescent="0.3">
      <c r="A50" s="113" t="s">
        <v>58</v>
      </c>
      <c r="B50" s="113" t="s">
        <v>45</v>
      </c>
      <c r="C50" s="113">
        <v>4804441</v>
      </c>
      <c r="D50" s="114">
        <f t="shared" si="3"/>
        <v>2014</v>
      </c>
      <c r="E50" s="114" t="str">
        <f t="shared" si="4"/>
        <v>Q1</v>
      </c>
      <c r="F50" s="115" t="str">
        <f t="shared" si="5"/>
        <v>Pre-COVID</v>
      </c>
    </row>
    <row r="51" spans="1:6" x14ac:dyDescent="0.3">
      <c r="A51" s="113" t="s">
        <v>58</v>
      </c>
      <c r="B51" s="113" t="s">
        <v>46</v>
      </c>
      <c r="C51" s="113">
        <v>400785</v>
      </c>
      <c r="D51" s="114">
        <f t="shared" si="3"/>
        <v>2014</v>
      </c>
      <c r="E51" s="114" t="str">
        <f t="shared" si="4"/>
        <v>Q1</v>
      </c>
      <c r="F51" s="115" t="str">
        <f t="shared" si="5"/>
        <v>Pre-COVID</v>
      </c>
    </row>
    <row r="52" spans="1:6" x14ac:dyDescent="0.3">
      <c r="A52" s="113" t="s">
        <v>58</v>
      </c>
      <c r="B52" s="113" t="s">
        <v>47</v>
      </c>
      <c r="C52" s="113">
        <v>4062698</v>
      </c>
      <c r="D52" s="114">
        <f t="shared" si="3"/>
        <v>2014</v>
      </c>
      <c r="E52" s="114" t="str">
        <f t="shared" si="4"/>
        <v>Q1</v>
      </c>
      <c r="F52" s="115" t="str">
        <f t="shared" si="5"/>
        <v>Pre-COVID</v>
      </c>
    </row>
    <row r="53" spans="1:6" x14ac:dyDescent="0.3">
      <c r="A53" s="113" t="s">
        <v>58</v>
      </c>
      <c r="B53" s="113" t="s">
        <v>48</v>
      </c>
      <c r="C53" s="113">
        <v>45956</v>
      </c>
      <c r="D53" s="114">
        <f t="shared" si="3"/>
        <v>2014</v>
      </c>
      <c r="E53" s="114" t="str">
        <f t="shared" si="4"/>
        <v>Q1</v>
      </c>
      <c r="F53" s="115" t="str">
        <f t="shared" si="5"/>
        <v>Pre-COVID</v>
      </c>
    </row>
    <row r="54" spans="1:6" x14ac:dyDescent="0.3">
      <c r="A54" s="113" t="s">
        <v>58</v>
      </c>
      <c r="B54" s="113" t="s">
        <v>49</v>
      </c>
      <c r="C54" s="113">
        <v>100116</v>
      </c>
      <c r="D54" s="114">
        <f t="shared" si="3"/>
        <v>2014</v>
      </c>
      <c r="E54" s="114" t="str">
        <f t="shared" si="4"/>
        <v>Q1</v>
      </c>
      <c r="F54" s="115" t="str">
        <f t="shared" si="5"/>
        <v>Pre-COVID</v>
      </c>
    </row>
    <row r="55" spans="1:6" x14ac:dyDescent="0.3">
      <c r="A55" s="113" t="s">
        <v>58</v>
      </c>
      <c r="B55" s="113" t="s">
        <v>50</v>
      </c>
      <c r="C55" s="113">
        <v>194886</v>
      </c>
      <c r="D55" s="114">
        <f t="shared" si="3"/>
        <v>2014</v>
      </c>
      <c r="E55" s="114" t="str">
        <f t="shared" si="4"/>
        <v>Q1</v>
      </c>
      <c r="F55" s="115" t="str">
        <f t="shared" si="5"/>
        <v>Pre-COVID</v>
      </c>
    </row>
    <row r="56" spans="1:6" x14ac:dyDescent="0.3">
      <c r="A56" s="113" t="s">
        <v>59</v>
      </c>
      <c r="B56" s="113" t="s">
        <v>45</v>
      </c>
      <c r="C56" s="113">
        <v>7278735</v>
      </c>
      <c r="D56" s="114">
        <f t="shared" si="3"/>
        <v>2014</v>
      </c>
      <c r="E56" s="114" t="str">
        <f t="shared" si="4"/>
        <v>Q2</v>
      </c>
      <c r="F56" s="115" t="str">
        <f t="shared" si="5"/>
        <v>Pre-COVID</v>
      </c>
    </row>
    <row r="57" spans="1:6" x14ac:dyDescent="0.3">
      <c r="A57" s="113" t="s">
        <v>59</v>
      </c>
      <c r="B57" s="113" t="s">
        <v>46</v>
      </c>
      <c r="C57" s="113">
        <v>610996</v>
      </c>
      <c r="D57" s="114">
        <f t="shared" si="3"/>
        <v>2014</v>
      </c>
      <c r="E57" s="114" t="str">
        <f t="shared" si="4"/>
        <v>Q2</v>
      </c>
      <c r="F57" s="115" t="str">
        <f t="shared" si="5"/>
        <v>Pre-COVID</v>
      </c>
    </row>
    <row r="58" spans="1:6" x14ac:dyDescent="0.3">
      <c r="A58" s="113" t="s">
        <v>59</v>
      </c>
      <c r="B58" s="113" t="s">
        <v>47</v>
      </c>
      <c r="C58" s="113">
        <v>5914826</v>
      </c>
      <c r="D58" s="114">
        <f t="shared" si="3"/>
        <v>2014</v>
      </c>
      <c r="E58" s="114" t="str">
        <f t="shared" si="4"/>
        <v>Q2</v>
      </c>
      <c r="F58" s="115" t="str">
        <f t="shared" si="5"/>
        <v>Pre-COVID</v>
      </c>
    </row>
    <row r="59" spans="1:6" x14ac:dyDescent="0.3">
      <c r="A59" s="113" t="s">
        <v>59</v>
      </c>
      <c r="B59" s="113" t="s">
        <v>48</v>
      </c>
      <c r="C59" s="113">
        <v>84394</v>
      </c>
      <c r="D59" s="114">
        <f t="shared" si="3"/>
        <v>2014</v>
      </c>
      <c r="E59" s="114" t="str">
        <f t="shared" si="4"/>
        <v>Q2</v>
      </c>
      <c r="F59" s="115" t="str">
        <f t="shared" si="5"/>
        <v>Pre-COVID</v>
      </c>
    </row>
    <row r="60" spans="1:6" x14ac:dyDescent="0.3">
      <c r="A60" s="113" t="s">
        <v>59</v>
      </c>
      <c r="B60" s="113" t="s">
        <v>49</v>
      </c>
      <c r="C60" s="113">
        <v>200333</v>
      </c>
      <c r="D60" s="114">
        <f t="shared" si="3"/>
        <v>2014</v>
      </c>
      <c r="E60" s="114" t="str">
        <f t="shared" si="4"/>
        <v>Q2</v>
      </c>
      <c r="F60" s="115" t="str">
        <f t="shared" si="5"/>
        <v>Pre-COVID</v>
      </c>
    </row>
    <row r="61" spans="1:6" x14ac:dyDescent="0.3">
      <c r="A61" s="113" t="s">
        <v>59</v>
      </c>
      <c r="B61" s="113" t="s">
        <v>50</v>
      </c>
      <c r="C61" s="113">
        <v>468186</v>
      </c>
      <c r="D61" s="114">
        <f t="shared" si="3"/>
        <v>2014</v>
      </c>
      <c r="E61" s="114" t="str">
        <f t="shared" si="4"/>
        <v>Q2</v>
      </c>
      <c r="F61" s="115" t="str">
        <f t="shared" si="5"/>
        <v>Pre-COVID</v>
      </c>
    </row>
    <row r="62" spans="1:6" x14ac:dyDescent="0.3">
      <c r="A62" s="113" t="s">
        <v>60</v>
      </c>
      <c r="B62" s="113" t="s">
        <v>45</v>
      </c>
      <c r="C62" s="113">
        <v>8219084</v>
      </c>
      <c r="D62" s="114">
        <f t="shared" si="3"/>
        <v>2014</v>
      </c>
      <c r="E62" s="114" t="str">
        <f t="shared" si="4"/>
        <v>Q3</v>
      </c>
      <c r="F62" s="115" t="str">
        <f t="shared" si="5"/>
        <v>Pre-COVID</v>
      </c>
    </row>
    <row r="63" spans="1:6" x14ac:dyDescent="0.3">
      <c r="A63" s="113" t="s">
        <v>60</v>
      </c>
      <c r="B63" s="113" t="s">
        <v>46</v>
      </c>
      <c r="C63" s="113">
        <v>685538</v>
      </c>
      <c r="D63" s="114">
        <f t="shared" si="3"/>
        <v>2014</v>
      </c>
      <c r="E63" s="114" t="str">
        <f t="shared" si="4"/>
        <v>Q3</v>
      </c>
      <c r="F63" s="115" t="str">
        <f t="shared" si="5"/>
        <v>Pre-COVID</v>
      </c>
    </row>
    <row r="64" spans="1:6" x14ac:dyDescent="0.3">
      <c r="A64" s="113" t="s">
        <v>60</v>
      </c>
      <c r="B64" s="113" t="s">
        <v>47</v>
      </c>
      <c r="C64" s="113">
        <v>6617238</v>
      </c>
      <c r="D64" s="114">
        <f t="shared" si="3"/>
        <v>2014</v>
      </c>
      <c r="E64" s="114" t="str">
        <f t="shared" si="4"/>
        <v>Q3</v>
      </c>
      <c r="F64" s="115" t="str">
        <f t="shared" si="5"/>
        <v>Pre-COVID</v>
      </c>
    </row>
    <row r="65" spans="1:6" x14ac:dyDescent="0.3">
      <c r="A65" s="113" t="s">
        <v>60</v>
      </c>
      <c r="B65" s="113" t="s">
        <v>48</v>
      </c>
      <c r="C65" s="113">
        <v>96963</v>
      </c>
      <c r="D65" s="114">
        <f t="shared" si="3"/>
        <v>2014</v>
      </c>
      <c r="E65" s="114" t="str">
        <f t="shared" si="4"/>
        <v>Q3</v>
      </c>
      <c r="F65" s="115" t="str">
        <f t="shared" si="5"/>
        <v>Pre-COVID</v>
      </c>
    </row>
    <row r="66" spans="1:6" x14ac:dyDescent="0.3">
      <c r="A66" s="113" t="s">
        <v>60</v>
      </c>
      <c r="B66" s="113" t="s">
        <v>49</v>
      </c>
      <c r="C66" s="113">
        <v>259416</v>
      </c>
      <c r="D66" s="114">
        <f t="shared" si="3"/>
        <v>2014</v>
      </c>
      <c r="E66" s="114" t="str">
        <f t="shared" si="4"/>
        <v>Q3</v>
      </c>
      <c r="F66" s="115" t="str">
        <f t="shared" si="5"/>
        <v>Pre-COVID</v>
      </c>
    </row>
    <row r="67" spans="1:6" x14ac:dyDescent="0.3">
      <c r="A67" s="113" t="s">
        <v>60</v>
      </c>
      <c r="B67" s="113" t="s">
        <v>50</v>
      </c>
      <c r="C67" s="113">
        <v>559929</v>
      </c>
      <c r="D67" s="114">
        <f t="shared" si="3"/>
        <v>2014</v>
      </c>
      <c r="E67" s="114" t="str">
        <f t="shared" si="4"/>
        <v>Q3</v>
      </c>
      <c r="F67" s="115" t="str">
        <f t="shared" si="5"/>
        <v>Pre-COVID</v>
      </c>
    </row>
    <row r="68" spans="1:6" x14ac:dyDescent="0.3">
      <c r="A68" s="113" t="s">
        <v>61</v>
      </c>
      <c r="B68" s="113" t="s">
        <v>45</v>
      </c>
      <c r="C68" s="113">
        <v>6084540</v>
      </c>
      <c r="D68" s="114">
        <f t="shared" ref="D68:D131" si="8">VALUE(LEFT(A68,4))</f>
        <v>2014</v>
      </c>
      <c r="E68" s="114" t="str">
        <f t="shared" ref="E68:E131" si="9">RIGHT(A68,2)</f>
        <v>Q4</v>
      </c>
      <c r="F68" s="115" t="str">
        <f t="shared" ref="F68:F131" si="10">IF(D68&lt;=2019,"Pre-COVID",IF(D68&lt;=2021,"COVID","Post-COVID"))</f>
        <v>Pre-COVID</v>
      </c>
    </row>
    <row r="69" spans="1:6" x14ac:dyDescent="0.3">
      <c r="A69" s="113" t="s">
        <v>61</v>
      </c>
      <c r="B69" s="113" t="s">
        <v>46</v>
      </c>
      <c r="C69" s="113">
        <v>440738</v>
      </c>
      <c r="D69" s="114">
        <f t="shared" si="8"/>
        <v>2014</v>
      </c>
      <c r="E69" s="114" t="str">
        <f t="shared" si="9"/>
        <v>Q4</v>
      </c>
      <c r="F69" s="115" t="str">
        <f t="shared" si="10"/>
        <v>Pre-COVID</v>
      </c>
    </row>
    <row r="70" spans="1:6" x14ac:dyDescent="0.3">
      <c r="A70" s="113" t="s">
        <v>61</v>
      </c>
      <c r="B70" s="113" t="s">
        <v>47</v>
      </c>
      <c r="C70" s="113">
        <v>5100131</v>
      </c>
      <c r="D70" s="114">
        <f t="shared" si="8"/>
        <v>2014</v>
      </c>
      <c r="E70" s="114" t="str">
        <f t="shared" si="9"/>
        <v>Q4</v>
      </c>
      <c r="F70" s="115" t="str">
        <f t="shared" si="10"/>
        <v>Pre-COVID</v>
      </c>
    </row>
    <row r="71" spans="1:6" x14ac:dyDescent="0.3">
      <c r="A71" s="113" t="s">
        <v>61</v>
      </c>
      <c r="B71" s="113" t="s">
        <v>48</v>
      </c>
      <c r="C71" s="113">
        <v>67642</v>
      </c>
      <c r="D71" s="114">
        <f t="shared" si="8"/>
        <v>2014</v>
      </c>
      <c r="E71" s="114" t="str">
        <f t="shared" si="9"/>
        <v>Q4</v>
      </c>
      <c r="F71" s="115" t="str">
        <f t="shared" si="10"/>
        <v>Pre-COVID</v>
      </c>
    </row>
    <row r="72" spans="1:6" x14ac:dyDescent="0.3">
      <c r="A72" s="113" t="s">
        <v>61</v>
      </c>
      <c r="B72" s="113" t="s">
        <v>49</v>
      </c>
      <c r="C72" s="113">
        <v>143805</v>
      </c>
      <c r="D72" s="114">
        <f t="shared" si="8"/>
        <v>2014</v>
      </c>
      <c r="E72" s="114" t="str">
        <f t="shared" si="9"/>
        <v>Q4</v>
      </c>
      <c r="F72" s="115" t="str">
        <f t="shared" si="10"/>
        <v>Pre-COVID</v>
      </c>
    </row>
    <row r="73" spans="1:6" x14ac:dyDescent="0.3">
      <c r="A73" s="113" t="s">
        <v>61</v>
      </c>
      <c r="B73" s="113" t="s">
        <v>50</v>
      </c>
      <c r="C73" s="113">
        <v>332224</v>
      </c>
      <c r="D73" s="114">
        <f t="shared" si="8"/>
        <v>2014</v>
      </c>
      <c r="E73" s="114" t="str">
        <f t="shared" si="9"/>
        <v>Q4</v>
      </c>
      <c r="F73" s="115" t="str">
        <f t="shared" si="10"/>
        <v>Pre-COVID</v>
      </c>
    </row>
    <row r="74" spans="1:6" x14ac:dyDescent="0.3">
      <c r="A74" s="113" t="s">
        <v>62</v>
      </c>
      <c r="B74" s="113" t="s">
        <v>45</v>
      </c>
      <c r="C74" s="113">
        <v>5541321</v>
      </c>
      <c r="D74" s="114">
        <f t="shared" si="8"/>
        <v>2015</v>
      </c>
      <c r="E74" s="114" t="str">
        <f t="shared" si="9"/>
        <v>Q1</v>
      </c>
      <c r="F74" s="115" t="str">
        <f t="shared" si="10"/>
        <v>Pre-COVID</v>
      </c>
    </row>
    <row r="75" spans="1:6" x14ac:dyDescent="0.3">
      <c r="A75" s="113" t="s">
        <v>62</v>
      </c>
      <c r="B75" s="113" t="s">
        <v>46</v>
      </c>
      <c r="C75" s="113">
        <v>379553</v>
      </c>
      <c r="D75" s="114">
        <f t="shared" si="8"/>
        <v>2015</v>
      </c>
      <c r="E75" s="114" t="str">
        <f t="shared" si="9"/>
        <v>Q1</v>
      </c>
      <c r="F75" s="115" t="str">
        <f t="shared" si="10"/>
        <v>Pre-COVID</v>
      </c>
    </row>
    <row r="76" spans="1:6" x14ac:dyDescent="0.3">
      <c r="A76" s="113" t="s">
        <v>62</v>
      </c>
      <c r="B76" s="113" t="s">
        <v>47</v>
      </c>
      <c r="C76" s="113">
        <v>4740924</v>
      </c>
      <c r="D76" s="114">
        <f t="shared" si="8"/>
        <v>2015</v>
      </c>
      <c r="E76" s="114" t="str">
        <f t="shared" si="9"/>
        <v>Q1</v>
      </c>
      <c r="F76" s="115" t="str">
        <f t="shared" si="10"/>
        <v>Pre-COVID</v>
      </c>
    </row>
    <row r="77" spans="1:6" x14ac:dyDescent="0.3">
      <c r="A77" s="113" t="s">
        <v>62</v>
      </c>
      <c r="B77" s="113" t="s">
        <v>48</v>
      </c>
      <c r="C77" s="113">
        <v>46806</v>
      </c>
      <c r="D77" s="114">
        <f t="shared" si="8"/>
        <v>2015</v>
      </c>
      <c r="E77" s="114" t="str">
        <f t="shared" si="9"/>
        <v>Q1</v>
      </c>
      <c r="F77" s="115" t="str">
        <f t="shared" si="10"/>
        <v>Pre-COVID</v>
      </c>
    </row>
    <row r="78" spans="1:6" x14ac:dyDescent="0.3">
      <c r="A78" s="113" t="s">
        <v>62</v>
      </c>
      <c r="B78" s="113" t="s">
        <v>49</v>
      </c>
      <c r="C78" s="113">
        <v>113413</v>
      </c>
      <c r="D78" s="114">
        <f t="shared" si="8"/>
        <v>2015</v>
      </c>
      <c r="E78" s="114" t="str">
        <f t="shared" si="9"/>
        <v>Q1</v>
      </c>
      <c r="F78" s="115" t="str">
        <f t="shared" si="10"/>
        <v>Pre-COVID</v>
      </c>
    </row>
    <row r="79" spans="1:6" x14ac:dyDescent="0.3">
      <c r="A79" s="113" t="s">
        <v>62</v>
      </c>
      <c r="B79" s="113" t="s">
        <v>50</v>
      </c>
      <c r="C79" s="113">
        <v>260625</v>
      </c>
      <c r="D79" s="114">
        <f t="shared" si="8"/>
        <v>2015</v>
      </c>
      <c r="E79" s="114" t="str">
        <f t="shared" si="9"/>
        <v>Q1</v>
      </c>
      <c r="F79" s="115" t="str">
        <f t="shared" si="10"/>
        <v>Pre-COVID</v>
      </c>
    </row>
    <row r="80" spans="1:6" x14ac:dyDescent="0.3">
      <c r="A80" s="113" t="s">
        <v>63</v>
      </c>
      <c r="B80" s="113" t="s">
        <v>45</v>
      </c>
      <c r="C80" s="113">
        <v>8072483</v>
      </c>
      <c r="D80" s="114">
        <f t="shared" si="8"/>
        <v>2015</v>
      </c>
      <c r="E80" s="114" t="str">
        <f t="shared" si="9"/>
        <v>Q2</v>
      </c>
      <c r="F80" s="115" t="str">
        <f t="shared" si="10"/>
        <v>Pre-COVID</v>
      </c>
    </row>
    <row r="81" spans="1:6" x14ac:dyDescent="0.3">
      <c r="A81" s="113" t="s">
        <v>63</v>
      </c>
      <c r="B81" s="113" t="s">
        <v>46</v>
      </c>
      <c r="C81" s="113">
        <v>580130</v>
      </c>
      <c r="D81" s="114">
        <f t="shared" si="8"/>
        <v>2015</v>
      </c>
      <c r="E81" s="114" t="str">
        <f t="shared" si="9"/>
        <v>Q2</v>
      </c>
      <c r="F81" s="115" t="str">
        <f t="shared" si="10"/>
        <v>Pre-COVID</v>
      </c>
    </row>
    <row r="82" spans="1:6" x14ac:dyDescent="0.3">
      <c r="A82" s="113" t="s">
        <v>63</v>
      </c>
      <c r="B82" s="113" t="s">
        <v>47</v>
      </c>
      <c r="C82" s="113">
        <v>6733056</v>
      </c>
      <c r="D82" s="114">
        <f t="shared" si="8"/>
        <v>2015</v>
      </c>
      <c r="E82" s="114" t="str">
        <f t="shared" si="9"/>
        <v>Q2</v>
      </c>
      <c r="F82" s="115" t="str">
        <f t="shared" si="10"/>
        <v>Pre-COVID</v>
      </c>
    </row>
    <row r="83" spans="1:6" x14ac:dyDescent="0.3">
      <c r="A83" s="113" t="s">
        <v>63</v>
      </c>
      <c r="B83" s="113" t="s">
        <v>48</v>
      </c>
      <c r="C83" s="113">
        <v>88309</v>
      </c>
      <c r="D83" s="114">
        <f t="shared" si="8"/>
        <v>2015</v>
      </c>
      <c r="E83" s="114" t="str">
        <f t="shared" si="9"/>
        <v>Q2</v>
      </c>
      <c r="F83" s="115" t="str">
        <f t="shared" si="10"/>
        <v>Pre-COVID</v>
      </c>
    </row>
    <row r="84" spans="1:6" x14ac:dyDescent="0.3">
      <c r="A84" s="113" t="s">
        <v>63</v>
      </c>
      <c r="B84" s="113" t="s">
        <v>49</v>
      </c>
      <c r="C84" s="113">
        <v>200042</v>
      </c>
      <c r="D84" s="114">
        <f t="shared" si="8"/>
        <v>2015</v>
      </c>
      <c r="E84" s="114" t="str">
        <f t="shared" si="9"/>
        <v>Q2</v>
      </c>
      <c r="F84" s="115" t="str">
        <f t="shared" si="10"/>
        <v>Pre-COVID</v>
      </c>
    </row>
    <row r="85" spans="1:6" x14ac:dyDescent="0.3">
      <c r="A85" s="113" t="s">
        <v>63</v>
      </c>
      <c r="B85" s="113" t="s">
        <v>50</v>
      </c>
      <c r="C85" s="113">
        <v>470946</v>
      </c>
      <c r="D85" s="114">
        <f t="shared" si="8"/>
        <v>2015</v>
      </c>
      <c r="E85" s="114" t="str">
        <f t="shared" si="9"/>
        <v>Q2</v>
      </c>
      <c r="F85" s="115" t="str">
        <f t="shared" si="10"/>
        <v>Pre-COVID</v>
      </c>
    </row>
    <row r="86" spans="1:6" x14ac:dyDescent="0.3">
      <c r="A86" s="113" t="s">
        <v>64</v>
      </c>
      <c r="B86" s="113" t="s">
        <v>45</v>
      </c>
      <c r="C86" s="113">
        <v>9166638</v>
      </c>
      <c r="D86" s="114">
        <f t="shared" si="8"/>
        <v>2015</v>
      </c>
      <c r="E86" s="114" t="str">
        <f t="shared" si="9"/>
        <v>Q3</v>
      </c>
      <c r="F86" s="115" t="str">
        <f t="shared" si="10"/>
        <v>Pre-COVID</v>
      </c>
    </row>
    <row r="87" spans="1:6" x14ac:dyDescent="0.3">
      <c r="A87" s="113" t="s">
        <v>64</v>
      </c>
      <c r="B87" s="113" t="s">
        <v>46</v>
      </c>
      <c r="C87" s="113">
        <v>653801</v>
      </c>
      <c r="D87" s="114">
        <f t="shared" si="8"/>
        <v>2015</v>
      </c>
      <c r="E87" s="114" t="str">
        <f t="shared" si="9"/>
        <v>Q3</v>
      </c>
      <c r="F87" s="115" t="str">
        <f t="shared" si="10"/>
        <v>Pre-COVID</v>
      </c>
    </row>
    <row r="88" spans="1:6" x14ac:dyDescent="0.3">
      <c r="A88" s="113" t="s">
        <v>64</v>
      </c>
      <c r="B88" s="113" t="s">
        <v>47</v>
      </c>
      <c r="C88" s="113">
        <v>7621339</v>
      </c>
      <c r="D88" s="114">
        <f t="shared" si="8"/>
        <v>2015</v>
      </c>
      <c r="E88" s="114" t="str">
        <f t="shared" si="9"/>
        <v>Q3</v>
      </c>
      <c r="F88" s="115" t="str">
        <f t="shared" si="10"/>
        <v>Pre-COVID</v>
      </c>
    </row>
    <row r="89" spans="1:6" x14ac:dyDescent="0.3">
      <c r="A89" s="113" t="s">
        <v>64</v>
      </c>
      <c r="B89" s="113" t="s">
        <v>48</v>
      </c>
      <c r="C89" s="113">
        <v>99683</v>
      </c>
      <c r="D89" s="114">
        <f t="shared" si="8"/>
        <v>2015</v>
      </c>
      <c r="E89" s="114" t="str">
        <f t="shared" si="9"/>
        <v>Q3</v>
      </c>
      <c r="F89" s="115" t="str">
        <f t="shared" si="10"/>
        <v>Pre-COVID</v>
      </c>
    </row>
    <row r="90" spans="1:6" x14ac:dyDescent="0.3">
      <c r="A90" s="113" t="s">
        <v>64</v>
      </c>
      <c r="B90" s="113" t="s">
        <v>49</v>
      </c>
      <c r="C90" s="113">
        <v>226306</v>
      </c>
      <c r="D90" s="114">
        <f t="shared" si="8"/>
        <v>2015</v>
      </c>
      <c r="E90" s="114" t="str">
        <f t="shared" si="9"/>
        <v>Q3</v>
      </c>
      <c r="F90" s="115" t="str">
        <f t="shared" si="10"/>
        <v>Pre-COVID</v>
      </c>
    </row>
    <row r="91" spans="1:6" x14ac:dyDescent="0.3">
      <c r="A91" s="113" t="s">
        <v>64</v>
      </c>
      <c r="B91" s="113" t="s">
        <v>50</v>
      </c>
      <c r="C91" s="113">
        <v>565509</v>
      </c>
      <c r="D91" s="114">
        <f t="shared" si="8"/>
        <v>2015</v>
      </c>
      <c r="E91" s="114" t="str">
        <f t="shared" si="9"/>
        <v>Q3</v>
      </c>
      <c r="F91" s="115" t="str">
        <f t="shared" si="10"/>
        <v>Pre-COVID</v>
      </c>
    </row>
    <row r="92" spans="1:6" x14ac:dyDescent="0.3">
      <c r="A92" s="113" t="s">
        <v>65</v>
      </c>
      <c r="B92" s="113" t="s">
        <v>45</v>
      </c>
      <c r="C92" s="113">
        <v>6878352</v>
      </c>
      <c r="D92" s="114">
        <f t="shared" si="8"/>
        <v>2015</v>
      </c>
      <c r="E92" s="114" t="str">
        <f t="shared" si="9"/>
        <v>Q4</v>
      </c>
      <c r="F92" s="115" t="str">
        <f t="shared" si="10"/>
        <v>Pre-COVID</v>
      </c>
    </row>
    <row r="93" spans="1:6" x14ac:dyDescent="0.3">
      <c r="A93" s="113" t="s">
        <v>65</v>
      </c>
      <c r="B93" s="113" t="s">
        <v>46</v>
      </c>
      <c r="C93" s="113">
        <v>452194</v>
      </c>
      <c r="D93" s="114">
        <f t="shared" si="8"/>
        <v>2015</v>
      </c>
      <c r="E93" s="114" t="str">
        <f t="shared" si="9"/>
        <v>Q4</v>
      </c>
      <c r="F93" s="115" t="str">
        <f t="shared" si="10"/>
        <v>Pre-COVID</v>
      </c>
    </row>
    <row r="94" spans="1:6" x14ac:dyDescent="0.3">
      <c r="A94" s="113" t="s">
        <v>65</v>
      </c>
      <c r="B94" s="113" t="s">
        <v>47</v>
      </c>
      <c r="C94" s="113">
        <v>5867199</v>
      </c>
      <c r="D94" s="114">
        <f t="shared" si="8"/>
        <v>2015</v>
      </c>
      <c r="E94" s="114" t="str">
        <f t="shared" si="9"/>
        <v>Q4</v>
      </c>
      <c r="F94" s="115" t="str">
        <f t="shared" si="10"/>
        <v>Pre-COVID</v>
      </c>
    </row>
    <row r="95" spans="1:6" x14ac:dyDescent="0.3">
      <c r="A95" s="113" t="s">
        <v>65</v>
      </c>
      <c r="B95" s="113" t="s">
        <v>48</v>
      </c>
      <c r="C95" s="113">
        <v>68241</v>
      </c>
      <c r="D95" s="114">
        <f t="shared" si="8"/>
        <v>2015</v>
      </c>
      <c r="E95" s="114" t="str">
        <f t="shared" si="9"/>
        <v>Q4</v>
      </c>
      <c r="F95" s="115" t="str">
        <f t="shared" si="10"/>
        <v>Pre-COVID</v>
      </c>
    </row>
    <row r="96" spans="1:6" x14ac:dyDescent="0.3">
      <c r="A96" s="113" t="s">
        <v>65</v>
      </c>
      <c r="B96" s="113" t="s">
        <v>49</v>
      </c>
      <c r="C96" s="113">
        <v>144910</v>
      </c>
      <c r="D96" s="114">
        <f t="shared" si="8"/>
        <v>2015</v>
      </c>
      <c r="E96" s="114" t="str">
        <f t="shared" si="9"/>
        <v>Q4</v>
      </c>
      <c r="F96" s="115" t="str">
        <f t="shared" si="10"/>
        <v>Pre-COVID</v>
      </c>
    </row>
    <row r="97" spans="1:6" x14ac:dyDescent="0.3">
      <c r="A97" s="113" t="s">
        <v>65</v>
      </c>
      <c r="B97" s="113" t="s">
        <v>50</v>
      </c>
      <c r="C97" s="113">
        <v>345808</v>
      </c>
      <c r="D97" s="114">
        <f t="shared" si="8"/>
        <v>2015</v>
      </c>
      <c r="E97" s="114" t="str">
        <f t="shared" si="9"/>
        <v>Q4</v>
      </c>
      <c r="F97" s="115" t="str">
        <f t="shared" si="10"/>
        <v>Pre-COVID</v>
      </c>
    </row>
    <row r="98" spans="1:6" x14ac:dyDescent="0.3">
      <c r="A98" s="113" t="s">
        <v>66</v>
      </c>
      <c r="B98" s="113" t="s">
        <v>45</v>
      </c>
      <c r="C98" s="113">
        <v>6419047</v>
      </c>
      <c r="D98" s="114">
        <f t="shared" si="8"/>
        <v>2016</v>
      </c>
      <c r="E98" s="114" t="str">
        <f t="shared" si="9"/>
        <v>Q1</v>
      </c>
      <c r="F98" s="115" t="str">
        <f t="shared" si="10"/>
        <v>Pre-COVID</v>
      </c>
    </row>
    <row r="99" spans="1:6" x14ac:dyDescent="0.3">
      <c r="A99" s="113" t="s">
        <v>66</v>
      </c>
      <c r="B99" s="113" t="s">
        <v>46</v>
      </c>
      <c r="C99" s="113">
        <v>419334</v>
      </c>
      <c r="D99" s="114">
        <f t="shared" si="8"/>
        <v>2016</v>
      </c>
      <c r="E99" s="114" t="str">
        <f t="shared" si="9"/>
        <v>Q1</v>
      </c>
      <c r="F99" s="115" t="str">
        <f t="shared" si="10"/>
        <v>Pre-COVID</v>
      </c>
    </row>
    <row r="100" spans="1:6" x14ac:dyDescent="0.3">
      <c r="A100" s="113" t="s">
        <v>66</v>
      </c>
      <c r="B100" s="113" t="s">
        <v>47</v>
      </c>
      <c r="C100" s="113">
        <v>5534979</v>
      </c>
      <c r="D100" s="114">
        <f t="shared" si="8"/>
        <v>2016</v>
      </c>
      <c r="E100" s="114" t="str">
        <f t="shared" si="9"/>
        <v>Q1</v>
      </c>
      <c r="F100" s="115" t="str">
        <f t="shared" si="10"/>
        <v>Pre-COVID</v>
      </c>
    </row>
    <row r="101" spans="1:6" x14ac:dyDescent="0.3">
      <c r="A101" s="113" t="s">
        <v>66</v>
      </c>
      <c r="B101" s="113" t="s">
        <v>48</v>
      </c>
      <c r="C101" s="113">
        <v>58771</v>
      </c>
      <c r="D101" s="114">
        <f t="shared" si="8"/>
        <v>2016</v>
      </c>
      <c r="E101" s="114" t="str">
        <f t="shared" si="9"/>
        <v>Q1</v>
      </c>
      <c r="F101" s="115" t="str">
        <f t="shared" si="10"/>
        <v>Pre-COVID</v>
      </c>
    </row>
    <row r="102" spans="1:6" x14ac:dyDescent="0.3">
      <c r="A102" s="113" t="s">
        <v>66</v>
      </c>
      <c r="B102" s="113" t="s">
        <v>49</v>
      </c>
      <c r="C102" s="113">
        <v>123034</v>
      </c>
      <c r="D102" s="114">
        <f t="shared" si="8"/>
        <v>2016</v>
      </c>
      <c r="E102" s="114" t="str">
        <f t="shared" si="9"/>
        <v>Q1</v>
      </c>
      <c r="F102" s="115" t="str">
        <f t="shared" si="10"/>
        <v>Pre-COVID</v>
      </c>
    </row>
    <row r="103" spans="1:6" x14ac:dyDescent="0.3">
      <c r="A103" s="113" t="s">
        <v>66</v>
      </c>
      <c r="B103" s="113" t="s">
        <v>50</v>
      </c>
      <c r="C103" s="113">
        <v>282929</v>
      </c>
      <c r="D103" s="114">
        <f t="shared" si="8"/>
        <v>2016</v>
      </c>
      <c r="E103" s="114" t="str">
        <f t="shared" si="9"/>
        <v>Q1</v>
      </c>
      <c r="F103" s="115" t="str">
        <f t="shared" si="10"/>
        <v>Pre-COVID</v>
      </c>
    </row>
    <row r="104" spans="1:6" x14ac:dyDescent="0.3">
      <c r="A104" s="113" t="s">
        <v>67</v>
      </c>
      <c r="B104" s="113" t="s">
        <v>45</v>
      </c>
      <c r="C104" s="113">
        <v>8814289</v>
      </c>
      <c r="D104" s="114">
        <f t="shared" si="8"/>
        <v>2016</v>
      </c>
      <c r="E104" s="114" t="str">
        <f t="shared" si="9"/>
        <v>Q2</v>
      </c>
      <c r="F104" s="115" t="str">
        <f t="shared" si="10"/>
        <v>Pre-COVID</v>
      </c>
    </row>
    <row r="105" spans="1:6" x14ac:dyDescent="0.3">
      <c r="A105" s="113" t="s">
        <v>67</v>
      </c>
      <c r="B105" s="113" t="s">
        <v>46</v>
      </c>
      <c r="C105" s="113">
        <v>625599</v>
      </c>
      <c r="D105" s="114">
        <f t="shared" si="8"/>
        <v>2016</v>
      </c>
      <c r="E105" s="114" t="str">
        <f t="shared" si="9"/>
        <v>Q2</v>
      </c>
      <c r="F105" s="115" t="str">
        <f t="shared" si="10"/>
        <v>Pre-COVID</v>
      </c>
    </row>
    <row r="106" spans="1:6" x14ac:dyDescent="0.3">
      <c r="A106" s="113" t="s">
        <v>67</v>
      </c>
      <c r="B106" s="113" t="s">
        <v>47</v>
      </c>
      <c r="C106" s="113">
        <v>7415559</v>
      </c>
      <c r="D106" s="114">
        <f t="shared" si="8"/>
        <v>2016</v>
      </c>
      <c r="E106" s="114" t="str">
        <f t="shared" si="9"/>
        <v>Q2</v>
      </c>
      <c r="F106" s="115" t="str">
        <f t="shared" si="10"/>
        <v>Pre-COVID</v>
      </c>
    </row>
    <row r="107" spans="1:6" x14ac:dyDescent="0.3">
      <c r="A107" s="113" t="s">
        <v>67</v>
      </c>
      <c r="B107" s="113" t="s">
        <v>48</v>
      </c>
      <c r="C107" s="113">
        <v>91072</v>
      </c>
      <c r="D107" s="114">
        <f t="shared" si="8"/>
        <v>2016</v>
      </c>
      <c r="E107" s="114" t="str">
        <f t="shared" si="9"/>
        <v>Q2</v>
      </c>
      <c r="F107" s="115" t="str">
        <f t="shared" si="10"/>
        <v>Pre-COVID</v>
      </c>
    </row>
    <row r="108" spans="1:6" x14ac:dyDescent="0.3">
      <c r="A108" s="113" t="s">
        <v>67</v>
      </c>
      <c r="B108" s="113" t="s">
        <v>49</v>
      </c>
      <c r="C108" s="113">
        <v>200402</v>
      </c>
      <c r="D108" s="114">
        <f t="shared" si="8"/>
        <v>2016</v>
      </c>
      <c r="E108" s="114" t="str">
        <f t="shared" si="9"/>
        <v>Q2</v>
      </c>
      <c r="F108" s="115" t="str">
        <f t="shared" si="10"/>
        <v>Pre-COVID</v>
      </c>
    </row>
    <row r="109" spans="1:6" x14ac:dyDescent="0.3">
      <c r="A109" s="113" t="s">
        <v>67</v>
      </c>
      <c r="B109" s="113" t="s">
        <v>50</v>
      </c>
      <c r="C109" s="113">
        <v>481657</v>
      </c>
      <c r="D109" s="114">
        <f t="shared" si="8"/>
        <v>2016</v>
      </c>
      <c r="E109" s="114" t="str">
        <f t="shared" si="9"/>
        <v>Q2</v>
      </c>
      <c r="F109" s="115" t="str">
        <f t="shared" si="10"/>
        <v>Pre-COVID</v>
      </c>
    </row>
    <row r="110" spans="1:6" x14ac:dyDescent="0.3">
      <c r="A110" s="113" t="s">
        <v>68</v>
      </c>
      <c r="B110" s="113" t="s">
        <v>45</v>
      </c>
      <c r="C110" s="113">
        <v>9989845</v>
      </c>
      <c r="D110" s="114">
        <f t="shared" si="8"/>
        <v>2016</v>
      </c>
      <c r="E110" s="114" t="str">
        <f t="shared" si="9"/>
        <v>Q3</v>
      </c>
      <c r="F110" s="115" t="str">
        <f t="shared" si="10"/>
        <v>Pre-COVID</v>
      </c>
    </row>
    <row r="111" spans="1:6" x14ac:dyDescent="0.3">
      <c r="A111" s="113" t="s">
        <v>68</v>
      </c>
      <c r="B111" s="113" t="s">
        <v>46</v>
      </c>
      <c r="C111" s="113">
        <v>706690</v>
      </c>
      <c r="D111" s="114">
        <f t="shared" si="8"/>
        <v>2016</v>
      </c>
      <c r="E111" s="114" t="str">
        <f t="shared" si="9"/>
        <v>Q3</v>
      </c>
      <c r="F111" s="115" t="str">
        <f t="shared" si="10"/>
        <v>Pre-COVID</v>
      </c>
    </row>
    <row r="112" spans="1:6" x14ac:dyDescent="0.3">
      <c r="A112" s="113" t="s">
        <v>68</v>
      </c>
      <c r="B112" s="113" t="s">
        <v>47</v>
      </c>
      <c r="C112" s="113">
        <v>8361602</v>
      </c>
      <c r="D112" s="114">
        <f t="shared" si="8"/>
        <v>2016</v>
      </c>
      <c r="E112" s="114" t="str">
        <f t="shared" si="9"/>
        <v>Q3</v>
      </c>
      <c r="F112" s="115" t="str">
        <f t="shared" si="10"/>
        <v>Pre-COVID</v>
      </c>
    </row>
    <row r="113" spans="1:6" x14ac:dyDescent="0.3">
      <c r="A113" s="113" t="s">
        <v>68</v>
      </c>
      <c r="B113" s="113" t="s">
        <v>48</v>
      </c>
      <c r="C113" s="113">
        <v>104956</v>
      </c>
      <c r="D113" s="114">
        <f t="shared" si="8"/>
        <v>2016</v>
      </c>
      <c r="E113" s="114" t="str">
        <f t="shared" si="9"/>
        <v>Q3</v>
      </c>
      <c r="F113" s="115" t="str">
        <f t="shared" si="10"/>
        <v>Pre-COVID</v>
      </c>
    </row>
    <row r="114" spans="1:6" x14ac:dyDescent="0.3">
      <c r="A114" s="113" t="s">
        <v>68</v>
      </c>
      <c r="B114" s="113" t="s">
        <v>49</v>
      </c>
      <c r="C114" s="113">
        <v>253870</v>
      </c>
      <c r="D114" s="114">
        <f t="shared" si="8"/>
        <v>2016</v>
      </c>
      <c r="E114" s="114" t="str">
        <f t="shared" si="9"/>
        <v>Q3</v>
      </c>
      <c r="F114" s="115" t="str">
        <f t="shared" si="10"/>
        <v>Pre-COVID</v>
      </c>
    </row>
    <row r="115" spans="1:6" x14ac:dyDescent="0.3">
      <c r="A115" s="113" t="s">
        <v>68</v>
      </c>
      <c r="B115" s="113" t="s">
        <v>50</v>
      </c>
      <c r="C115" s="113">
        <v>562727</v>
      </c>
      <c r="D115" s="114">
        <f t="shared" si="8"/>
        <v>2016</v>
      </c>
      <c r="E115" s="114" t="str">
        <f t="shared" si="9"/>
        <v>Q3</v>
      </c>
      <c r="F115" s="115" t="str">
        <f t="shared" si="10"/>
        <v>Pre-COVID</v>
      </c>
    </row>
    <row r="116" spans="1:6" x14ac:dyDescent="0.3">
      <c r="A116" s="113" t="s">
        <v>69</v>
      </c>
      <c r="B116" s="113" t="s">
        <v>45</v>
      </c>
      <c r="C116" s="113">
        <v>7518046</v>
      </c>
      <c r="D116" s="114">
        <f t="shared" si="8"/>
        <v>2016</v>
      </c>
      <c r="E116" s="114" t="str">
        <f t="shared" si="9"/>
        <v>Q4</v>
      </c>
      <c r="F116" s="115" t="str">
        <f t="shared" si="10"/>
        <v>Pre-COVID</v>
      </c>
    </row>
    <row r="117" spans="1:6" x14ac:dyDescent="0.3">
      <c r="A117" s="113" t="s">
        <v>69</v>
      </c>
      <c r="B117" s="113" t="s">
        <v>46</v>
      </c>
      <c r="C117" s="113">
        <v>474610</v>
      </c>
      <c r="D117" s="114">
        <f t="shared" si="8"/>
        <v>2016</v>
      </c>
      <c r="E117" s="114" t="str">
        <f t="shared" si="9"/>
        <v>Q4</v>
      </c>
      <c r="F117" s="115" t="str">
        <f t="shared" si="10"/>
        <v>Pre-COVID</v>
      </c>
    </row>
    <row r="118" spans="1:6" x14ac:dyDescent="0.3">
      <c r="A118" s="113" t="s">
        <v>69</v>
      </c>
      <c r="B118" s="113" t="s">
        <v>47</v>
      </c>
      <c r="C118" s="113">
        <v>6466748</v>
      </c>
      <c r="D118" s="114">
        <f t="shared" si="8"/>
        <v>2016</v>
      </c>
      <c r="E118" s="114" t="str">
        <f t="shared" si="9"/>
        <v>Q4</v>
      </c>
      <c r="F118" s="115" t="str">
        <f t="shared" si="10"/>
        <v>Pre-COVID</v>
      </c>
    </row>
    <row r="119" spans="1:6" x14ac:dyDescent="0.3">
      <c r="A119" s="113" t="s">
        <v>69</v>
      </c>
      <c r="B119" s="113" t="s">
        <v>48</v>
      </c>
      <c r="C119" s="113">
        <v>70871</v>
      </c>
      <c r="D119" s="114">
        <f t="shared" si="8"/>
        <v>2016</v>
      </c>
      <c r="E119" s="114" t="str">
        <f t="shared" si="9"/>
        <v>Q4</v>
      </c>
      <c r="F119" s="115" t="str">
        <f t="shared" si="10"/>
        <v>Pre-COVID</v>
      </c>
    </row>
    <row r="120" spans="1:6" x14ac:dyDescent="0.3">
      <c r="A120" s="113" t="s">
        <v>69</v>
      </c>
      <c r="B120" s="113" t="s">
        <v>49</v>
      </c>
      <c r="C120" s="113">
        <v>158563</v>
      </c>
      <c r="D120" s="114">
        <f t="shared" si="8"/>
        <v>2016</v>
      </c>
      <c r="E120" s="114" t="str">
        <f t="shared" si="9"/>
        <v>Q4</v>
      </c>
      <c r="F120" s="115" t="str">
        <f t="shared" si="10"/>
        <v>Pre-COVID</v>
      </c>
    </row>
    <row r="121" spans="1:6" x14ac:dyDescent="0.3">
      <c r="A121" s="113" t="s">
        <v>69</v>
      </c>
      <c r="B121" s="113" t="s">
        <v>50</v>
      </c>
      <c r="C121" s="113">
        <v>347254</v>
      </c>
      <c r="D121" s="114">
        <f t="shared" si="8"/>
        <v>2016</v>
      </c>
      <c r="E121" s="114" t="str">
        <f t="shared" si="9"/>
        <v>Q4</v>
      </c>
      <c r="F121" s="115" t="str">
        <f t="shared" si="10"/>
        <v>Pre-COVID</v>
      </c>
    </row>
    <row r="122" spans="1:6" x14ac:dyDescent="0.3">
      <c r="A122" s="113" t="s">
        <v>70</v>
      </c>
      <c r="B122" s="113" t="s">
        <v>45</v>
      </c>
      <c r="C122" s="113">
        <v>6678744</v>
      </c>
      <c r="D122" s="114">
        <f t="shared" si="8"/>
        <v>2017</v>
      </c>
      <c r="E122" s="114" t="str">
        <f t="shared" si="9"/>
        <v>Q1</v>
      </c>
      <c r="F122" s="115" t="str">
        <f t="shared" si="10"/>
        <v>Pre-COVID</v>
      </c>
    </row>
    <row r="123" spans="1:6" x14ac:dyDescent="0.3">
      <c r="A123" s="113" t="s">
        <v>70</v>
      </c>
      <c r="B123" s="113" t="s">
        <v>46</v>
      </c>
      <c r="C123" s="113">
        <v>418458</v>
      </c>
      <c r="D123" s="114">
        <f t="shared" si="8"/>
        <v>2017</v>
      </c>
      <c r="E123" s="114" t="str">
        <f t="shared" si="9"/>
        <v>Q1</v>
      </c>
      <c r="F123" s="115" t="str">
        <f t="shared" si="10"/>
        <v>Pre-COVID</v>
      </c>
    </row>
    <row r="124" spans="1:6" x14ac:dyDescent="0.3">
      <c r="A124" s="113" t="s">
        <v>70</v>
      </c>
      <c r="B124" s="113" t="s">
        <v>47</v>
      </c>
      <c r="C124" s="113">
        <v>5795278</v>
      </c>
      <c r="D124" s="114">
        <f t="shared" si="8"/>
        <v>2017</v>
      </c>
      <c r="E124" s="114" t="str">
        <f t="shared" si="9"/>
        <v>Q1</v>
      </c>
      <c r="F124" s="115" t="str">
        <f t="shared" si="10"/>
        <v>Pre-COVID</v>
      </c>
    </row>
    <row r="125" spans="1:6" x14ac:dyDescent="0.3">
      <c r="A125" s="113" t="s">
        <v>70</v>
      </c>
      <c r="B125" s="113" t="s">
        <v>48</v>
      </c>
      <c r="C125" s="113">
        <v>59034</v>
      </c>
      <c r="D125" s="114">
        <f t="shared" si="8"/>
        <v>2017</v>
      </c>
      <c r="E125" s="114" t="str">
        <f t="shared" si="9"/>
        <v>Q1</v>
      </c>
      <c r="F125" s="115" t="str">
        <f t="shared" si="10"/>
        <v>Pre-COVID</v>
      </c>
    </row>
    <row r="126" spans="1:6" x14ac:dyDescent="0.3">
      <c r="A126" s="113" t="s">
        <v>70</v>
      </c>
      <c r="B126" s="113" t="s">
        <v>49</v>
      </c>
      <c r="C126" s="113">
        <v>134221</v>
      </c>
      <c r="D126" s="114">
        <f t="shared" si="8"/>
        <v>2017</v>
      </c>
      <c r="E126" s="114" t="str">
        <f t="shared" si="9"/>
        <v>Q1</v>
      </c>
      <c r="F126" s="115" t="str">
        <f t="shared" si="10"/>
        <v>Pre-COVID</v>
      </c>
    </row>
    <row r="127" spans="1:6" x14ac:dyDescent="0.3">
      <c r="A127" s="113" t="s">
        <v>70</v>
      </c>
      <c r="B127" s="113" t="s">
        <v>50</v>
      </c>
      <c r="C127" s="113">
        <v>271753</v>
      </c>
      <c r="D127" s="114">
        <f t="shared" si="8"/>
        <v>2017</v>
      </c>
      <c r="E127" s="114" t="str">
        <f t="shared" si="9"/>
        <v>Q1</v>
      </c>
      <c r="F127" s="115" t="str">
        <f t="shared" si="10"/>
        <v>Pre-COVID</v>
      </c>
    </row>
    <row r="128" spans="1:6" x14ac:dyDescent="0.3">
      <c r="A128" s="113" t="s">
        <v>71</v>
      </c>
      <c r="B128" s="113" t="s">
        <v>45</v>
      </c>
      <c r="C128" s="113">
        <v>9359711</v>
      </c>
      <c r="D128" s="114">
        <f t="shared" si="8"/>
        <v>2017</v>
      </c>
      <c r="E128" s="114" t="str">
        <f t="shared" si="9"/>
        <v>Q2</v>
      </c>
      <c r="F128" s="115" t="str">
        <f t="shared" si="10"/>
        <v>Pre-COVID</v>
      </c>
    </row>
    <row r="129" spans="1:6" x14ac:dyDescent="0.3">
      <c r="A129" s="113" t="s">
        <v>71</v>
      </c>
      <c r="B129" s="113" t="s">
        <v>46</v>
      </c>
      <c r="C129" s="113">
        <v>637491</v>
      </c>
      <c r="D129" s="114">
        <f t="shared" si="8"/>
        <v>2017</v>
      </c>
      <c r="E129" s="114" t="str">
        <f t="shared" si="9"/>
        <v>Q2</v>
      </c>
      <c r="F129" s="115" t="str">
        <f t="shared" si="10"/>
        <v>Pre-COVID</v>
      </c>
    </row>
    <row r="130" spans="1:6" x14ac:dyDescent="0.3">
      <c r="A130" s="113" t="s">
        <v>71</v>
      </c>
      <c r="B130" s="113" t="s">
        <v>47</v>
      </c>
      <c r="C130" s="113">
        <v>7960058</v>
      </c>
      <c r="D130" s="114">
        <f t="shared" si="8"/>
        <v>2017</v>
      </c>
      <c r="E130" s="114" t="str">
        <f t="shared" si="9"/>
        <v>Q2</v>
      </c>
      <c r="F130" s="115" t="str">
        <f t="shared" si="10"/>
        <v>Pre-COVID</v>
      </c>
    </row>
    <row r="131" spans="1:6" x14ac:dyDescent="0.3">
      <c r="A131" s="113" t="s">
        <v>71</v>
      </c>
      <c r="B131" s="113" t="s">
        <v>48</v>
      </c>
      <c r="C131" s="113">
        <v>98536</v>
      </c>
      <c r="D131" s="114">
        <f t="shared" si="8"/>
        <v>2017</v>
      </c>
      <c r="E131" s="114" t="str">
        <f t="shared" si="9"/>
        <v>Q2</v>
      </c>
      <c r="F131" s="115" t="str">
        <f t="shared" si="10"/>
        <v>Pre-COVID</v>
      </c>
    </row>
    <row r="132" spans="1:6" x14ac:dyDescent="0.3">
      <c r="A132" s="113" t="s">
        <v>71</v>
      </c>
      <c r="B132" s="113" t="s">
        <v>49</v>
      </c>
      <c r="C132" s="113">
        <v>208655</v>
      </c>
      <c r="D132" s="114">
        <f t="shared" ref="D132:D195" si="11">VALUE(LEFT(A132,4))</f>
        <v>2017</v>
      </c>
      <c r="E132" s="114" t="str">
        <f t="shared" ref="E132:E195" si="12">RIGHT(A132,2)</f>
        <v>Q2</v>
      </c>
      <c r="F132" s="115" t="str">
        <f t="shared" ref="F132:F195" si="13">IF(D132&lt;=2019,"Pre-COVID",IF(D132&lt;=2021,"COVID","Post-COVID"))</f>
        <v>Pre-COVID</v>
      </c>
    </row>
    <row r="133" spans="1:6" x14ac:dyDescent="0.3">
      <c r="A133" s="113" t="s">
        <v>71</v>
      </c>
      <c r="B133" s="113" t="s">
        <v>50</v>
      </c>
      <c r="C133" s="113">
        <v>454971</v>
      </c>
      <c r="D133" s="114">
        <f t="shared" si="11"/>
        <v>2017</v>
      </c>
      <c r="E133" s="114" t="str">
        <f t="shared" si="12"/>
        <v>Q2</v>
      </c>
      <c r="F133" s="115" t="str">
        <f t="shared" si="13"/>
        <v>Pre-COVID</v>
      </c>
    </row>
    <row r="134" spans="1:6" x14ac:dyDescent="0.3">
      <c r="A134" s="113" t="s">
        <v>72</v>
      </c>
      <c r="B134" s="113" t="s">
        <v>45</v>
      </c>
      <c r="C134" s="113">
        <v>10524366</v>
      </c>
      <c r="D134" s="114">
        <f t="shared" si="11"/>
        <v>2017</v>
      </c>
      <c r="E134" s="114" t="str">
        <f t="shared" si="12"/>
        <v>Q3</v>
      </c>
      <c r="F134" s="115" t="str">
        <f t="shared" si="13"/>
        <v>Pre-COVID</v>
      </c>
    </row>
    <row r="135" spans="1:6" x14ac:dyDescent="0.3">
      <c r="A135" s="113" t="s">
        <v>72</v>
      </c>
      <c r="B135" s="113" t="s">
        <v>46</v>
      </c>
      <c r="C135" s="113">
        <v>752138</v>
      </c>
      <c r="D135" s="114">
        <f t="shared" si="11"/>
        <v>2017</v>
      </c>
      <c r="E135" s="114" t="str">
        <f t="shared" si="12"/>
        <v>Q3</v>
      </c>
      <c r="F135" s="115" t="str">
        <f t="shared" si="13"/>
        <v>Pre-COVID</v>
      </c>
    </row>
    <row r="136" spans="1:6" x14ac:dyDescent="0.3">
      <c r="A136" s="113" t="s">
        <v>72</v>
      </c>
      <c r="B136" s="113" t="s">
        <v>47</v>
      </c>
      <c r="C136" s="113">
        <v>8893941</v>
      </c>
      <c r="D136" s="114">
        <f t="shared" si="11"/>
        <v>2017</v>
      </c>
      <c r="E136" s="114" t="str">
        <f t="shared" si="12"/>
        <v>Q3</v>
      </c>
      <c r="F136" s="115" t="str">
        <f t="shared" si="13"/>
        <v>Pre-COVID</v>
      </c>
    </row>
    <row r="137" spans="1:6" x14ac:dyDescent="0.3">
      <c r="A137" s="113" t="s">
        <v>72</v>
      </c>
      <c r="B137" s="113" t="s">
        <v>48</v>
      </c>
      <c r="C137" s="113">
        <v>102166</v>
      </c>
      <c r="D137" s="114">
        <f t="shared" si="11"/>
        <v>2017</v>
      </c>
      <c r="E137" s="114" t="str">
        <f t="shared" si="12"/>
        <v>Q3</v>
      </c>
      <c r="F137" s="115" t="str">
        <f t="shared" si="13"/>
        <v>Pre-COVID</v>
      </c>
    </row>
    <row r="138" spans="1:6" x14ac:dyDescent="0.3">
      <c r="A138" s="113" t="s">
        <v>72</v>
      </c>
      <c r="B138" s="113" t="s">
        <v>49</v>
      </c>
      <c r="C138" s="113">
        <v>244849</v>
      </c>
      <c r="D138" s="114">
        <f t="shared" si="11"/>
        <v>2017</v>
      </c>
      <c r="E138" s="114" t="str">
        <f t="shared" si="12"/>
        <v>Q3</v>
      </c>
      <c r="F138" s="115" t="str">
        <f t="shared" si="13"/>
        <v>Pre-COVID</v>
      </c>
    </row>
    <row r="139" spans="1:6" x14ac:dyDescent="0.3">
      <c r="A139" s="113" t="s">
        <v>72</v>
      </c>
      <c r="B139" s="113" t="s">
        <v>50</v>
      </c>
      <c r="C139" s="113">
        <v>531272</v>
      </c>
      <c r="D139" s="114">
        <f t="shared" si="11"/>
        <v>2017</v>
      </c>
      <c r="E139" s="114" t="str">
        <f t="shared" si="12"/>
        <v>Q3</v>
      </c>
      <c r="F139" s="115" t="str">
        <f t="shared" si="13"/>
        <v>Pre-COVID</v>
      </c>
    </row>
    <row r="140" spans="1:6" x14ac:dyDescent="0.3">
      <c r="A140" s="113" t="s">
        <v>73</v>
      </c>
      <c r="B140" s="113" t="s">
        <v>45</v>
      </c>
      <c r="C140" s="113">
        <v>7876478</v>
      </c>
      <c r="D140" s="114">
        <f t="shared" si="11"/>
        <v>2017</v>
      </c>
      <c r="E140" s="114" t="str">
        <f t="shared" si="12"/>
        <v>Q4</v>
      </c>
      <c r="F140" s="115" t="str">
        <f t="shared" si="13"/>
        <v>Pre-COVID</v>
      </c>
    </row>
    <row r="141" spans="1:6" x14ac:dyDescent="0.3">
      <c r="A141" s="113" t="s">
        <v>73</v>
      </c>
      <c r="B141" s="113" t="s">
        <v>46</v>
      </c>
      <c r="C141" s="113">
        <v>493363</v>
      </c>
      <c r="D141" s="114">
        <f t="shared" si="11"/>
        <v>2017</v>
      </c>
      <c r="E141" s="114" t="str">
        <f t="shared" si="12"/>
        <v>Q4</v>
      </c>
      <c r="F141" s="115" t="str">
        <f t="shared" si="13"/>
        <v>Pre-COVID</v>
      </c>
    </row>
    <row r="142" spans="1:6" x14ac:dyDescent="0.3">
      <c r="A142" s="113" t="s">
        <v>73</v>
      </c>
      <c r="B142" s="113" t="s">
        <v>47</v>
      </c>
      <c r="C142" s="113">
        <v>6805197</v>
      </c>
      <c r="D142" s="114">
        <f t="shared" si="11"/>
        <v>2017</v>
      </c>
      <c r="E142" s="114" t="str">
        <f t="shared" si="12"/>
        <v>Q4</v>
      </c>
      <c r="F142" s="115" t="str">
        <f t="shared" si="13"/>
        <v>Pre-COVID</v>
      </c>
    </row>
    <row r="143" spans="1:6" x14ac:dyDescent="0.3">
      <c r="A143" s="113" t="s">
        <v>73</v>
      </c>
      <c r="B143" s="113" t="s">
        <v>48</v>
      </c>
      <c r="C143" s="113">
        <v>75744</v>
      </c>
      <c r="D143" s="114">
        <f t="shared" si="11"/>
        <v>2017</v>
      </c>
      <c r="E143" s="114" t="str">
        <f t="shared" si="12"/>
        <v>Q4</v>
      </c>
      <c r="F143" s="115" t="str">
        <f t="shared" si="13"/>
        <v>Pre-COVID</v>
      </c>
    </row>
    <row r="144" spans="1:6" x14ac:dyDescent="0.3">
      <c r="A144" s="113" t="s">
        <v>73</v>
      </c>
      <c r="B144" s="113" t="s">
        <v>49</v>
      </c>
      <c r="C144" s="113">
        <v>160780</v>
      </c>
      <c r="D144" s="114">
        <f t="shared" si="11"/>
        <v>2017</v>
      </c>
      <c r="E144" s="114" t="str">
        <f t="shared" si="12"/>
        <v>Q4</v>
      </c>
      <c r="F144" s="115" t="str">
        <f t="shared" si="13"/>
        <v>Pre-COVID</v>
      </c>
    </row>
    <row r="145" spans="1:6" x14ac:dyDescent="0.3">
      <c r="A145" s="113" t="s">
        <v>73</v>
      </c>
      <c r="B145" s="113" t="s">
        <v>50</v>
      </c>
      <c r="C145" s="113">
        <v>341394</v>
      </c>
      <c r="D145" s="114">
        <f t="shared" si="11"/>
        <v>2017</v>
      </c>
      <c r="E145" s="114" t="str">
        <f t="shared" si="12"/>
        <v>Q4</v>
      </c>
      <c r="F145" s="115" t="str">
        <f t="shared" si="13"/>
        <v>Pre-COVID</v>
      </c>
    </row>
    <row r="146" spans="1:6" x14ac:dyDescent="0.3">
      <c r="A146" s="113" t="s">
        <v>74</v>
      </c>
      <c r="B146" s="113" t="s">
        <v>45</v>
      </c>
      <c r="C146" s="113">
        <v>6939843</v>
      </c>
      <c r="D146" s="114">
        <f t="shared" si="11"/>
        <v>2018</v>
      </c>
      <c r="E146" s="114" t="str">
        <f t="shared" si="12"/>
        <v>Q1</v>
      </c>
      <c r="F146" s="115" t="str">
        <f t="shared" si="13"/>
        <v>Pre-COVID</v>
      </c>
    </row>
    <row r="147" spans="1:6" x14ac:dyDescent="0.3">
      <c r="A147" s="113" t="s">
        <v>74</v>
      </c>
      <c r="B147" s="113" t="s">
        <v>46</v>
      </c>
      <c r="C147" s="113">
        <v>428618</v>
      </c>
      <c r="D147" s="114">
        <f t="shared" si="11"/>
        <v>2018</v>
      </c>
      <c r="E147" s="114" t="str">
        <f t="shared" si="12"/>
        <v>Q1</v>
      </c>
      <c r="F147" s="115" t="str">
        <f t="shared" si="13"/>
        <v>Pre-COVID</v>
      </c>
    </row>
    <row r="148" spans="1:6" x14ac:dyDescent="0.3">
      <c r="A148" s="113" t="s">
        <v>74</v>
      </c>
      <c r="B148" s="113" t="s">
        <v>47</v>
      </c>
      <c r="C148" s="113">
        <v>6037482</v>
      </c>
      <c r="D148" s="114">
        <f t="shared" si="11"/>
        <v>2018</v>
      </c>
      <c r="E148" s="114" t="str">
        <f t="shared" si="12"/>
        <v>Q1</v>
      </c>
      <c r="F148" s="115" t="str">
        <f t="shared" si="13"/>
        <v>Pre-COVID</v>
      </c>
    </row>
    <row r="149" spans="1:6" x14ac:dyDescent="0.3">
      <c r="A149" s="113" t="s">
        <v>74</v>
      </c>
      <c r="B149" s="113" t="s">
        <v>48</v>
      </c>
      <c r="C149" s="113">
        <v>65439</v>
      </c>
      <c r="D149" s="114">
        <f t="shared" si="11"/>
        <v>2018</v>
      </c>
      <c r="E149" s="114" t="str">
        <f t="shared" si="12"/>
        <v>Q1</v>
      </c>
      <c r="F149" s="115" t="str">
        <f t="shared" si="13"/>
        <v>Pre-COVID</v>
      </c>
    </row>
    <row r="150" spans="1:6" x14ac:dyDescent="0.3">
      <c r="A150" s="113" t="s">
        <v>74</v>
      </c>
      <c r="B150" s="113" t="s">
        <v>49</v>
      </c>
      <c r="C150" s="113">
        <v>131234</v>
      </c>
      <c r="D150" s="114">
        <f t="shared" si="11"/>
        <v>2018</v>
      </c>
      <c r="E150" s="114" t="str">
        <f t="shared" si="12"/>
        <v>Q1</v>
      </c>
      <c r="F150" s="115" t="str">
        <f t="shared" si="13"/>
        <v>Pre-COVID</v>
      </c>
    </row>
    <row r="151" spans="1:6" x14ac:dyDescent="0.3">
      <c r="A151" s="113" t="s">
        <v>74</v>
      </c>
      <c r="B151" s="113" t="s">
        <v>50</v>
      </c>
      <c r="C151" s="113">
        <v>277070</v>
      </c>
      <c r="D151" s="114">
        <f t="shared" si="11"/>
        <v>2018</v>
      </c>
      <c r="E151" s="114" t="str">
        <f t="shared" si="12"/>
        <v>Q1</v>
      </c>
      <c r="F151" s="115" t="str">
        <f t="shared" si="13"/>
        <v>Pre-COVID</v>
      </c>
    </row>
    <row r="152" spans="1:6" x14ac:dyDescent="0.3">
      <c r="A152" s="113" t="s">
        <v>75</v>
      </c>
      <c r="B152" s="113" t="s">
        <v>45</v>
      </c>
      <c r="C152" s="113">
        <v>10031143</v>
      </c>
      <c r="D152" s="114">
        <f t="shared" si="11"/>
        <v>2018</v>
      </c>
      <c r="E152" s="114" t="str">
        <f t="shared" si="12"/>
        <v>Q2</v>
      </c>
      <c r="F152" s="115" t="str">
        <f t="shared" si="13"/>
        <v>Pre-COVID</v>
      </c>
    </row>
    <row r="153" spans="1:6" x14ac:dyDescent="0.3">
      <c r="A153" s="113" t="s">
        <v>75</v>
      </c>
      <c r="B153" s="113" t="s">
        <v>46</v>
      </c>
      <c r="C153" s="113">
        <v>665643</v>
      </c>
      <c r="D153" s="114">
        <f t="shared" si="11"/>
        <v>2018</v>
      </c>
      <c r="E153" s="114" t="str">
        <f t="shared" si="12"/>
        <v>Q2</v>
      </c>
      <c r="F153" s="115" t="str">
        <f t="shared" si="13"/>
        <v>Pre-COVID</v>
      </c>
    </row>
    <row r="154" spans="1:6" x14ac:dyDescent="0.3">
      <c r="A154" s="113" t="s">
        <v>75</v>
      </c>
      <c r="B154" s="113" t="s">
        <v>47</v>
      </c>
      <c r="C154" s="113">
        <v>8558244</v>
      </c>
      <c r="D154" s="114">
        <f t="shared" si="11"/>
        <v>2018</v>
      </c>
      <c r="E154" s="114" t="str">
        <f t="shared" si="12"/>
        <v>Q2</v>
      </c>
      <c r="F154" s="115" t="str">
        <f t="shared" si="13"/>
        <v>Pre-COVID</v>
      </c>
    </row>
    <row r="155" spans="1:6" x14ac:dyDescent="0.3">
      <c r="A155" s="113" t="s">
        <v>75</v>
      </c>
      <c r="B155" s="113" t="s">
        <v>48</v>
      </c>
      <c r="C155" s="113">
        <v>103617</v>
      </c>
      <c r="D155" s="114">
        <f t="shared" si="11"/>
        <v>2018</v>
      </c>
      <c r="E155" s="114" t="str">
        <f t="shared" si="12"/>
        <v>Q2</v>
      </c>
      <c r="F155" s="115" t="str">
        <f t="shared" si="13"/>
        <v>Pre-COVID</v>
      </c>
    </row>
    <row r="156" spans="1:6" x14ac:dyDescent="0.3">
      <c r="A156" s="113" t="s">
        <v>75</v>
      </c>
      <c r="B156" s="113" t="s">
        <v>49</v>
      </c>
      <c r="C156" s="113">
        <v>217471</v>
      </c>
      <c r="D156" s="114">
        <f t="shared" si="11"/>
        <v>2018</v>
      </c>
      <c r="E156" s="114" t="str">
        <f t="shared" si="12"/>
        <v>Q2</v>
      </c>
      <c r="F156" s="115" t="str">
        <f t="shared" si="13"/>
        <v>Pre-COVID</v>
      </c>
    </row>
    <row r="157" spans="1:6" x14ac:dyDescent="0.3">
      <c r="A157" s="113" t="s">
        <v>75</v>
      </c>
      <c r="B157" s="113" t="s">
        <v>50</v>
      </c>
      <c r="C157" s="113">
        <v>486168</v>
      </c>
      <c r="D157" s="114">
        <f t="shared" si="11"/>
        <v>2018</v>
      </c>
      <c r="E157" s="114" t="str">
        <f t="shared" si="12"/>
        <v>Q2</v>
      </c>
      <c r="F157" s="115" t="str">
        <f t="shared" si="13"/>
        <v>Pre-COVID</v>
      </c>
    </row>
    <row r="158" spans="1:6" x14ac:dyDescent="0.3">
      <c r="A158" s="113" t="s">
        <v>76</v>
      </c>
      <c r="B158" s="113" t="s">
        <v>45</v>
      </c>
      <c r="C158" s="113">
        <v>11131101</v>
      </c>
      <c r="D158" s="114">
        <f t="shared" si="11"/>
        <v>2018</v>
      </c>
      <c r="E158" s="114" t="str">
        <f t="shared" si="12"/>
        <v>Q3</v>
      </c>
      <c r="F158" s="115" t="str">
        <f t="shared" si="13"/>
        <v>Pre-COVID</v>
      </c>
    </row>
    <row r="159" spans="1:6" x14ac:dyDescent="0.3">
      <c r="A159" s="113" t="s">
        <v>76</v>
      </c>
      <c r="B159" s="113" t="s">
        <v>46</v>
      </c>
      <c r="C159" s="113">
        <v>773012</v>
      </c>
      <c r="D159" s="114">
        <f t="shared" si="11"/>
        <v>2018</v>
      </c>
      <c r="E159" s="114" t="str">
        <f t="shared" si="12"/>
        <v>Q3</v>
      </c>
      <c r="F159" s="115" t="str">
        <f t="shared" si="13"/>
        <v>Pre-COVID</v>
      </c>
    </row>
    <row r="160" spans="1:6" x14ac:dyDescent="0.3">
      <c r="A160" s="113" t="s">
        <v>76</v>
      </c>
      <c r="B160" s="113" t="s">
        <v>47</v>
      </c>
      <c r="C160" s="113">
        <v>9430981</v>
      </c>
      <c r="D160" s="114">
        <f t="shared" si="11"/>
        <v>2018</v>
      </c>
      <c r="E160" s="114" t="str">
        <f t="shared" si="12"/>
        <v>Q3</v>
      </c>
      <c r="F160" s="115" t="str">
        <f t="shared" si="13"/>
        <v>Pre-COVID</v>
      </c>
    </row>
    <row r="161" spans="1:6" x14ac:dyDescent="0.3">
      <c r="A161" s="113" t="s">
        <v>76</v>
      </c>
      <c r="B161" s="113" t="s">
        <v>48</v>
      </c>
      <c r="C161" s="113">
        <v>114010</v>
      </c>
      <c r="D161" s="114">
        <f t="shared" si="11"/>
        <v>2018</v>
      </c>
      <c r="E161" s="114" t="str">
        <f t="shared" si="12"/>
        <v>Q3</v>
      </c>
      <c r="F161" s="115" t="str">
        <f t="shared" si="13"/>
        <v>Pre-COVID</v>
      </c>
    </row>
    <row r="162" spans="1:6" x14ac:dyDescent="0.3">
      <c r="A162" s="113" t="s">
        <v>76</v>
      </c>
      <c r="B162" s="113" t="s">
        <v>49</v>
      </c>
      <c r="C162" s="113">
        <v>251687</v>
      </c>
      <c r="D162" s="114">
        <f t="shared" si="11"/>
        <v>2018</v>
      </c>
      <c r="E162" s="114" t="str">
        <f t="shared" si="12"/>
        <v>Q3</v>
      </c>
      <c r="F162" s="115" t="str">
        <f t="shared" si="13"/>
        <v>Pre-COVID</v>
      </c>
    </row>
    <row r="163" spans="1:6" x14ac:dyDescent="0.3">
      <c r="A163" s="113" t="s">
        <v>76</v>
      </c>
      <c r="B163" s="113" t="s">
        <v>50</v>
      </c>
      <c r="C163" s="113">
        <v>561411</v>
      </c>
      <c r="D163" s="114">
        <f t="shared" si="11"/>
        <v>2018</v>
      </c>
      <c r="E163" s="114" t="str">
        <f t="shared" si="12"/>
        <v>Q3</v>
      </c>
      <c r="F163" s="115" t="str">
        <f t="shared" si="13"/>
        <v>Pre-COVID</v>
      </c>
    </row>
    <row r="164" spans="1:6" x14ac:dyDescent="0.3">
      <c r="A164" s="113" t="s">
        <v>77</v>
      </c>
      <c r="B164" s="113" t="s">
        <v>45</v>
      </c>
      <c r="C164" s="113">
        <v>8419046</v>
      </c>
      <c r="D164" s="114">
        <f t="shared" si="11"/>
        <v>2018</v>
      </c>
      <c r="E164" s="114" t="str">
        <f t="shared" si="12"/>
        <v>Q4</v>
      </c>
      <c r="F164" s="115" t="str">
        <f t="shared" si="13"/>
        <v>Pre-COVID</v>
      </c>
    </row>
    <row r="165" spans="1:6" x14ac:dyDescent="0.3">
      <c r="A165" s="113" t="s">
        <v>77</v>
      </c>
      <c r="B165" s="113" t="s">
        <v>46</v>
      </c>
      <c r="C165" s="113">
        <v>520533</v>
      </c>
      <c r="D165" s="114">
        <f t="shared" si="11"/>
        <v>2018</v>
      </c>
      <c r="E165" s="114" t="str">
        <f t="shared" si="12"/>
        <v>Q4</v>
      </c>
      <c r="F165" s="115" t="str">
        <f t="shared" si="13"/>
        <v>Pre-COVID</v>
      </c>
    </row>
    <row r="166" spans="1:6" x14ac:dyDescent="0.3">
      <c r="A166" s="113" t="s">
        <v>77</v>
      </c>
      <c r="B166" s="113" t="s">
        <v>47</v>
      </c>
      <c r="C166" s="113">
        <v>7292712</v>
      </c>
      <c r="D166" s="114">
        <f t="shared" si="11"/>
        <v>2018</v>
      </c>
      <c r="E166" s="114" t="str">
        <f t="shared" si="12"/>
        <v>Q4</v>
      </c>
      <c r="F166" s="115" t="str">
        <f t="shared" si="13"/>
        <v>Pre-COVID</v>
      </c>
    </row>
    <row r="167" spans="1:6" x14ac:dyDescent="0.3">
      <c r="A167" s="113" t="s">
        <v>77</v>
      </c>
      <c r="B167" s="113" t="s">
        <v>48</v>
      </c>
      <c r="C167" s="113">
        <v>82273</v>
      </c>
      <c r="D167" s="114">
        <f t="shared" si="11"/>
        <v>2018</v>
      </c>
      <c r="E167" s="114" t="str">
        <f t="shared" si="12"/>
        <v>Q4</v>
      </c>
      <c r="F167" s="115" t="str">
        <f t="shared" si="13"/>
        <v>Pre-COVID</v>
      </c>
    </row>
    <row r="168" spans="1:6" x14ac:dyDescent="0.3">
      <c r="A168" s="113" t="s">
        <v>77</v>
      </c>
      <c r="B168" s="113" t="s">
        <v>49</v>
      </c>
      <c r="C168" s="113">
        <v>170516</v>
      </c>
      <c r="D168" s="114">
        <f t="shared" si="11"/>
        <v>2018</v>
      </c>
      <c r="E168" s="114" t="str">
        <f t="shared" si="12"/>
        <v>Q4</v>
      </c>
      <c r="F168" s="115" t="str">
        <f t="shared" si="13"/>
        <v>Pre-COVID</v>
      </c>
    </row>
    <row r="169" spans="1:6" x14ac:dyDescent="0.3">
      <c r="A169" s="113" t="s">
        <v>77</v>
      </c>
      <c r="B169" s="113" t="s">
        <v>50</v>
      </c>
      <c r="C169" s="113">
        <v>353012</v>
      </c>
      <c r="D169" s="114">
        <f t="shared" si="11"/>
        <v>2018</v>
      </c>
      <c r="E169" s="114" t="str">
        <f t="shared" si="12"/>
        <v>Q4</v>
      </c>
      <c r="F169" s="115" t="str">
        <f t="shared" si="13"/>
        <v>Pre-COVID</v>
      </c>
    </row>
    <row r="170" spans="1:6" x14ac:dyDescent="0.3">
      <c r="A170" s="113" t="s">
        <v>78</v>
      </c>
      <c r="B170" s="113" t="s">
        <v>45</v>
      </c>
      <c r="C170" s="113">
        <v>7435673</v>
      </c>
      <c r="D170" s="114">
        <f t="shared" si="11"/>
        <v>2019</v>
      </c>
      <c r="E170" s="114" t="str">
        <f t="shared" si="12"/>
        <v>Q1</v>
      </c>
      <c r="F170" s="115" t="str">
        <f t="shared" si="13"/>
        <v>Pre-COVID</v>
      </c>
    </row>
    <row r="171" spans="1:6" x14ac:dyDescent="0.3">
      <c r="A171" s="113" t="s">
        <v>78</v>
      </c>
      <c r="B171" s="113" t="s">
        <v>46</v>
      </c>
      <c r="C171" s="113">
        <v>474297</v>
      </c>
      <c r="D171" s="114">
        <f t="shared" si="11"/>
        <v>2019</v>
      </c>
      <c r="E171" s="114" t="str">
        <f t="shared" si="12"/>
        <v>Q1</v>
      </c>
      <c r="F171" s="115" t="str">
        <f t="shared" si="13"/>
        <v>Pre-COVID</v>
      </c>
    </row>
    <row r="172" spans="1:6" x14ac:dyDescent="0.3">
      <c r="A172" s="113" t="s">
        <v>78</v>
      </c>
      <c r="B172" s="113" t="s">
        <v>47</v>
      </c>
      <c r="C172" s="113">
        <v>6480314</v>
      </c>
      <c r="D172" s="114">
        <f t="shared" si="11"/>
        <v>2019</v>
      </c>
      <c r="E172" s="114" t="str">
        <f t="shared" si="12"/>
        <v>Q1</v>
      </c>
      <c r="F172" s="115" t="str">
        <f t="shared" si="13"/>
        <v>Pre-COVID</v>
      </c>
    </row>
    <row r="173" spans="1:6" x14ac:dyDescent="0.3">
      <c r="A173" s="113" t="s">
        <v>78</v>
      </c>
      <c r="B173" s="113" t="s">
        <v>48</v>
      </c>
      <c r="C173" s="113">
        <v>68606</v>
      </c>
      <c r="D173" s="114">
        <f t="shared" si="11"/>
        <v>2019</v>
      </c>
      <c r="E173" s="114" t="str">
        <f t="shared" si="12"/>
        <v>Q1</v>
      </c>
      <c r="F173" s="115" t="str">
        <f t="shared" si="13"/>
        <v>Pre-COVID</v>
      </c>
    </row>
    <row r="174" spans="1:6" x14ac:dyDescent="0.3">
      <c r="A174" s="113" t="s">
        <v>78</v>
      </c>
      <c r="B174" s="113" t="s">
        <v>49</v>
      </c>
      <c r="C174" s="113">
        <v>142569</v>
      </c>
      <c r="D174" s="114">
        <f t="shared" si="11"/>
        <v>2019</v>
      </c>
      <c r="E174" s="114" t="str">
        <f t="shared" si="12"/>
        <v>Q1</v>
      </c>
      <c r="F174" s="115" t="str">
        <f t="shared" si="13"/>
        <v>Pre-COVID</v>
      </c>
    </row>
    <row r="175" spans="1:6" x14ac:dyDescent="0.3">
      <c r="A175" s="113" t="s">
        <v>78</v>
      </c>
      <c r="B175" s="113" t="s">
        <v>50</v>
      </c>
      <c r="C175" s="113">
        <v>269887</v>
      </c>
      <c r="D175" s="114">
        <f t="shared" si="11"/>
        <v>2019</v>
      </c>
      <c r="E175" s="114" t="str">
        <f t="shared" si="12"/>
        <v>Q1</v>
      </c>
      <c r="F175" s="115" t="str">
        <f t="shared" si="13"/>
        <v>Pre-COVID</v>
      </c>
    </row>
    <row r="176" spans="1:6" x14ac:dyDescent="0.3">
      <c r="A176" s="113" t="s">
        <v>79</v>
      </c>
      <c r="B176" s="113" t="s">
        <v>45</v>
      </c>
      <c r="C176" s="113">
        <v>10479523</v>
      </c>
      <c r="D176" s="114">
        <f t="shared" si="11"/>
        <v>2019</v>
      </c>
      <c r="E176" s="114" t="str">
        <f t="shared" si="12"/>
        <v>Q2</v>
      </c>
      <c r="F176" s="115" t="str">
        <f t="shared" si="13"/>
        <v>Pre-COVID</v>
      </c>
    </row>
    <row r="177" spans="1:6" x14ac:dyDescent="0.3">
      <c r="A177" s="113" t="s">
        <v>79</v>
      </c>
      <c r="B177" s="113" t="s">
        <v>46</v>
      </c>
      <c r="C177" s="113">
        <v>728548</v>
      </c>
      <c r="D177" s="114">
        <f t="shared" si="11"/>
        <v>2019</v>
      </c>
      <c r="E177" s="114" t="str">
        <f t="shared" si="12"/>
        <v>Q2</v>
      </c>
      <c r="F177" s="115" t="str">
        <f t="shared" si="13"/>
        <v>Pre-COVID</v>
      </c>
    </row>
    <row r="178" spans="1:6" x14ac:dyDescent="0.3">
      <c r="A178" s="113" t="s">
        <v>79</v>
      </c>
      <c r="B178" s="113" t="s">
        <v>47</v>
      </c>
      <c r="C178" s="113">
        <v>8957586</v>
      </c>
      <c r="D178" s="114">
        <f t="shared" si="11"/>
        <v>2019</v>
      </c>
      <c r="E178" s="114" t="str">
        <f t="shared" si="12"/>
        <v>Q2</v>
      </c>
      <c r="F178" s="115" t="str">
        <f t="shared" si="13"/>
        <v>Pre-COVID</v>
      </c>
    </row>
    <row r="179" spans="1:6" x14ac:dyDescent="0.3">
      <c r="A179" s="113" t="s">
        <v>79</v>
      </c>
      <c r="B179" s="113" t="s">
        <v>48</v>
      </c>
      <c r="C179" s="113">
        <v>102534</v>
      </c>
      <c r="D179" s="114">
        <f t="shared" si="11"/>
        <v>2019</v>
      </c>
      <c r="E179" s="114" t="str">
        <f t="shared" si="12"/>
        <v>Q2</v>
      </c>
      <c r="F179" s="115" t="str">
        <f t="shared" si="13"/>
        <v>Pre-COVID</v>
      </c>
    </row>
    <row r="180" spans="1:6" x14ac:dyDescent="0.3">
      <c r="A180" s="113" t="s">
        <v>79</v>
      </c>
      <c r="B180" s="113" t="s">
        <v>49</v>
      </c>
      <c r="C180" s="113">
        <v>222433</v>
      </c>
      <c r="D180" s="114">
        <f t="shared" si="11"/>
        <v>2019</v>
      </c>
      <c r="E180" s="114" t="str">
        <f t="shared" si="12"/>
        <v>Q2</v>
      </c>
      <c r="F180" s="115" t="str">
        <f t="shared" si="13"/>
        <v>Pre-COVID</v>
      </c>
    </row>
    <row r="181" spans="1:6" x14ac:dyDescent="0.3">
      <c r="A181" s="113" t="s">
        <v>79</v>
      </c>
      <c r="B181" s="113" t="s">
        <v>50</v>
      </c>
      <c r="C181" s="113">
        <v>468422</v>
      </c>
      <c r="D181" s="114">
        <f t="shared" si="11"/>
        <v>2019</v>
      </c>
      <c r="E181" s="114" t="str">
        <f t="shared" si="12"/>
        <v>Q2</v>
      </c>
      <c r="F181" s="115" t="str">
        <f t="shared" si="13"/>
        <v>Pre-COVID</v>
      </c>
    </row>
    <row r="182" spans="1:6" x14ac:dyDescent="0.3">
      <c r="A182" s="113" t="s">
        <v>80</v>
      </c>
      <c r="B182" s="113" t="s">
        <v>45</v>
      </c>
      <c r="C182" s="113">
        <v>11597270</v>
      </c>
      <c r="D182" s="114">
        <f t="shared" si="11"/>
        <v>2019</v>
      </c>
      <c r="E182" s="114" t="str">
        <f t="shared" si="12"/>
        <v>Q3</v>
      </c>
      <c r="F182" s="115" t="str">
        <f t="shared" si="13"/>
        <v>Pre-COVID</v>
      </c>
    </row>
    <row r="183" spans="1:6" x14ac:dyDescent="0.3">
      <c r="A183" s="113" t="s">
        <v>80</v>
      </c>
      <c r="B183" s="113" t="s">
        <v>46</v>
      </c>
      <c r="C183" s="113">
        <v>832198</v>
      </c>
      <c r="D183" s="114">
        <f t="shared" si="11"/>
        <v>2019</v>
      </c>
      <c r="E183" s="114" t="str">
        <f t="shared" si="12"/>
        <v>Q3</v>
      </c>
      <c r="F183" s="115" t="str">
        <f t="shared" si="13"/>
        <v>Pre-COVID</v>
      </c>
    </row>
    <row r="184" spans="1:6" x14ac:dyDescent="0.3">
      <c r="A184" s="113" t="s">
        <v>80</v>
      </c>
      <c r="B184" s="113" t="s">
        <v>47</v>
      </c>
      <c r="C184" s="113">
        <v>9852369</v>
      </c>
      <c r="D184" s="114">
        <f t="shared" si="11"/>
        <v>2019</v>
      </c>
      <c r="E184" s="114" t="str">
        <f t="shared" si="12"/>
        <v>Q3</v>
      </c>
      <c r="F184" s="115" t="str">
        <f t="shared" si="13"/>
        <v>Pre-COVID</v>
      </c>
    </row>
    <row r="185" spans="1:6" x14ac:dyDescent="0.3">
      <c r="A185" s="113" t="s">
        <v>80</v>
      </c>
      <c r="B185" s="113" t="s">
        <v>48</v>
      </c>
      <c r="C185" s="113">
        <v>116018</v>
      </c>
      <c r="D185" s="114">
        <f t="shared" si="11"/>
        <v>2019</v>
      </c>
      <c r="E185" s="114" t="str">
        <f t="shared" si="12"/>
        <v>Q3</v>
      </c>
      <c r="F185" s="115" t="str">
        <f t="shared" si="13"/>
        <v>Pre-COVID</v>
      </c>
    </row>
    <row r="186" spans="1:6" x14ac:dyDescent="0.3">
      <c r="A186" s="113" t="s">
        <v>80</v>
      </c>
      <c r="B186" s="113" t="s">
        <v>49</v>
      </c>
      <c r="C186" s="113">
        <v>259988</v>
      </c>
      <c r="D186" s="114">
        <f t="shared" si="11"/>
        <v>2019</v>
      </c>
      <c r="E186" s="114" t="str">
        <f t="shared" si="12"/>
        <v>Q3</v>
      </c>
      <c r="F186" s="115" t="str">
        <f t="shared" si="13"/>
        <v>Pre-COVID</v>
      </c>
    </row>
    <row r="187" spans="1:6" x14ac:dyDescent="0.3">
      <c r="A187" s="113" t="s">
        <v>80</v>
      </c>
      <c r="B187" s="113" t="s">
        <v>50</v>
      </c>
      <c r="C187" s="113">
        <v>536697</v>
      </c>
      <c r="D187" s="114">
        <f t="shared" si="11"/>
        <v>2019</v>
      </c>
      <c r="E187" s="114" t="str">
        <f t="shared" si="12"/>
        <v>Q3</v>
      </c>
      <c r="F187" s="115" t="str">
        <f t="shared" si="13"/>
        <v>Pre-COVID</v>
      </c>
    </row>
    <row r="188" spans="1:6" x14ac:dyDescent="0.3">
      <c r="A188" s="113" t="s">
        <v>81</v>
      </c>
      <c r="B188" s="113" t="s">
        <v>45</v>
      </c>
      <c r="C188" s="113">
        <v>8540952</v>
      </c>
      <c r="D188" s="114">
        <f t="shared" si="11"/>
        <v>2019</v>
      </c>
      <c r="E188" s="114" t="str">
        <f t="shared" si="12"/>
        <v>Q4</v>
      </c>
      <c r="F188" s="115" t="str">
        <f t="shared" si="13"/>
        <v>Pre-COVID</v>
      </c>
    </row>
    <row r="189" spans="1:6" x14ac:dyDescent="0.3">
      <c r="A189" s="113" t="s">
        <v>81</v>
      </c>
      <c r="B189" s="113" t="s">
        <v>46</v>
      </c>
      <c r="C189" s="113">
        <v>550423</v>
      </c>
      <c r="D189" s="114">
        <f t="shared" si="11"/>
        <v>2019</v>
      </c>
      <c r="E189" s="114" t="str">
        <f t="shared" si="12"/>
        <v>Q4</v>
      </c>
      <c r="F189" s="115" t="str">
        <f t="shared" si="13"/>
        <v>Pre-COVID</v>
      </c>
    </row>
    <row r="190" spans="1:6" x14ac:dyDescent="0.3">
      <c r="A190" s="113" t="s">
        <v>81</v>
      </c>
      <c r="B190" s="113" t="s">
        <v>47</v>
      </c>
      <c r="C190" s="113">
        <v>7385982</v>
      </c>
      <c r="D190" s="114">
        <f t="shared" si="11"/>
        <v>2019</v>
      </c>
      <c r="E190" s="114" t="str">
        <f t="shared" si="12"/>
        <v>Q4</v>
      </c>
      <c r="F190" s="115" t="str">
        <f t="shared" si="13"/>
        <v>Pre-COVID</v>
      </c>
    </row>
    <row r="191" spans="1:6" x14ac:dyDescent="0.3">
      <c r="A191" s="113" t="s">
        <v>81</v>
      </c>
      <c r="B191" s="113" t="s">
        <v>48</v>
      </c>
      <c r="C191" s="113">
        <v>82678</v>
      </c>
      <c r="D191" s="114">
        <f t="shared" si="11"/>
        <v>2019</v>
      </c>
      <c r="E191" s="114" t="str">
        <f t="shared" si="12"/>
        <v>Q4</v>
      </c>
      <c r="F191" s="115" t="str">
        <f t="shared" si="13"/>
        <v>Pre-COVID</v>
      </c>
    </row>
    <row r="192" spans="1:6" x14ac:dyDescent="0.3">
      <c r="A192" s="113" t="s">
        <v>81</v>
      </c>
      <c r="B192" s="113" t="s">
        <v>49</v>
      </c>
      <c r="C192" s="113">
        <v>180453</v>
      </c>
      <c r="D192" s="114">
        <f t="shared" si="11"/>
        <v>2019</v>
      </c>
      <c r="E192" s="114" t="str">
        <f t="shared" si="12"/>
        <v>Q4</v>
      </c>
      <c r="F192" s="115" t="str">
        <f t="shared" si="13"/>
        <v>Pre-COVID</v>
      </c>
    </row>
    <row r="193" spans="1:6" x14ac:dyDescent="0.3">
      <c r="A193" s="113" t="s">
        <v>81</v>
      </c>
      <c r="B193" s="113" t="s">
        <v>50</v>
      </c>
      <c r="C193" s="113">
        <v>341416</v>
      </c>
      <c r="D193" s="114">
        <f t="shared" si="11"/>
        <v>2019</v>
      </c>
      <c r="E193" s="114" t="str">
        <f t="shared" si="12"/>
        <v>Q4</v>
      </c>
      <c r="F193" s="115" t="str">
        <f t="shared" si="13"/>
        <v>Pre-COVID</v>
      </c>
    </row>
    <row r="194" spans="1:6" x14ac:dyDescent="0.3">
      <c r="A194" s="113" t="s">
        <v>82</v>
      </c>
      <c r="B194" s="113" t="s">
        <v>45</v>
      </c>
      <c r="C194" s="113">
        <v>5916477</v>
      </c>
      <c r="D194" s="114">
        <f t="shared" si="11"/>
        <v>2020</v>
      </c>
      <c r="E194" s="114" t="str">
        <f t="shared" si="12"/>
        <v>Q1</v>
      </c>
      <c r="F194" s="116" t="str">
        <f t="shared" si="13"/>
        <v>COVID</v>
      </c>
    </row>
    <row r="195" spans="1:6" x14ac:dyDescent="0.3">
      <c r="A195" s="113" t="s">
        <v>82</v>
      </c>
      <c r="B195" s="113" t="s">
        <v>46</v>
      </c>
      <c r="C195" s="113">
        <v>397387</v>
      </c>
      <c r="D195" s="114">
        <f t="shared" si="11"/>
        <v>2020</v>
      </c>
      <c r="E195" s="114" t="str">
        <f t="shared" si="12"/>
        <v>Q1</v>
      </c>
      <c r="F195" s="116" t="str">
        <f t="shared" si="13"/>
        <v>COVID</v>
      </c>
    </row>
    <row r="196" spans="1:6" x14ac:dyDescent="0.3">
      <c r="A196" s="113" t="s">
        <v>82</v>
      </c>
      <c r="B196" s="113" t="s">
        <v>47</v>
      </c>
      <c r="C196" s="113">
        <v>5139128</v>
      </c>
      <c r="D196" s="114">
        <f t="shared" ref="D196:D259" si="14">VALUE(LEFT(A196,4))</f>
        <v>2020</v>
      </c>
      <c r="E196" s="114" t="str">
        <f t="shared" ref="E196:E259" si="15">RIGHT(A196,2)</f>
        <v>Q1</v>
      </c>
      <c r="F196" s="116" t="str">
        <f t="shared" ref="F196:F259" si="16">IF(D196&lt;=2019,"Pre-COVID",IF(D196&lt;=2021,"COVID","Post-COVID"))</f>
        <v>COVID</v>
      </c>
    </row>
    <row r="197" spans="1:6" x14ac:dyDescent="0.3">
      <c r="A197" s="113" t="s">
        <v>82</v>
      </c>
      <c r="B197" s="113" t="s">
        <v>48</v>
      </c>
      <c r="C197" s="113">
        <v>55763</v>
      </c>
      <c r="D197" s="114">
        <f t="shared" si="14"/>
        <v>2020</v>
      </c>
      <c r="E197" s="114" t="str">
        <f t="shared" si="15"/>
        <v>Q1</v>
      </c>
      <c r="F197" s="116" t="str">
        <f t="shared" si="16"/>
        <v>COVID</v>
      </c>
    </row>
    <row r="198" spans="1:6" x14ac:dyDescent="0.3">
      <c r="A198" s="113" t="s">
        <v>82</v>
      </c>
      <c r="B198" s="113" t="s">
        <v>49</v>
      </c>
      <c r="C198" s="113">
        <v>107971</v>
      </c>
      <c r="D198" s="114">
        <f t="shared" si="14"/>
        <v>2020</v>
      </c>
      <c r="E198" s="114" t="str">
        <f t="shared" si="15"/>
        <v>Q1</v>
      </c>
      <c r="F198" s="116" t="str">
        <f t="shared" si="16"/>
        <v>COVID</v>
      </c>
    </row>
    <row r="199" spans="1:6" x14ac:dyDescent="0.3">
      <c r="A199" s="113" t="s">
        <v>82</v>
      </c>
      <c r="B199" s="113" t="s">
        <v>50</v>
      </c>
      <c r="C199" s="113">
        <v>216228</v>
      </c>
      <c r="D199" s="114">
        <f t="shared" si="14"/>
        <v>2020</v>
      </c>
      <c r="E199" s="114" t="str">
        <f t="shared" si="15"/>
        <v>Q1</v>
      </c>
      <c r="F199" s="116" t="str">
        <f t="shared" si="16"/>
        <v>COVID</v>
      </c>
    </row>
    <row r="200" spans="1:6" x14ac:dyDescent="0.3">
      <c r="A200" s="113" t="s">
        <v>83</v>
      </c>
      <c r="B200" s="113" t="s">
        <v>45</v>
      </c>
      <c r="C200" s="113">
        <v>164402</v>
      </c>
      <c r="D200" s="114">
        <f t="shared" si="14"/>
        <v>2020</v>
      </c>
      <c r="E200" s="114" t="str">
        <f t="shared" si="15"/>
        <v>Q2</v>
      </c>
      <c r="F200" s="116" t="str">
        <f t="shared" si="16"/>
        <v>COVID</v>
      </c>
    </row>
    <row r="201" spans="1:6" x14ac:dyDescent="0.3">
      <c r="A201" s="113" t="s">
        <v>83</v>
      </c>
      <c r="B201" s="113" t="s">
        <v>46</v>
      </c>
      <c r="C201" s="113">
        <v>7879</v>
      </c>
      <c r="D201" s="114">
        <f t="shared" si="14"/>
        <v>2020</v>
      </c>
      <c r="E201" s="114" t="str">
        <f t="shared" si="15"/>
        <v>Q2</v>
      </c>
      <c r="F201" s="116" t="str">
        <f t="shared" si="16"/>
        <v>COVID</v>
      </c>
    </row>
    <row r="202" spans="1:6" x14ac:dyDescent="0.3">
      <c r="A202" s="113" t="s">
        <v>83</v>
      </c>
      <c r="B202" s="113" t="s">
        <v>47</v>
      </c>
      <c r="C202" s="113">
        <v>155592</v>
      </c>
      <c r="D202" s="114">
        <f t="shared" si="14"/>
        <v>2020</v>
      </c>
      <c r="E202" s="114" t="str">
        <f t="shared" si="15"/>
        <v>Q2</v>
      </c>
      <c r="F202" s="116" t="str">
        <f t="shared" si="16"/>
        <v>COVID</v>
      </c>
    </row>
    <row r="203" spans="1:6" x14ac:dyDescent="0.3">
      <c r="A203" s="113" t="s">
        <v>83</v>
      </c>
      <c r="B203" s="113" t="s">
        <v>48</v>
      </c>
      <c r="C203" s="113">
        <v>808</v>
      </c>
      <c r="D203" s="114">
        <f t="shared" si="14"/>
        <v>2020</v>
      </c>
      <c r="E203" s="114" t="str">
        <f t="shared" si="15"/>
        <v>Q2</v>
      </c>
      <c r="F203" s="116" t="str">
        <f t="shared" si="16"/>
        <v>COVID</v>
      </c>
    </row>
    <row r="204" spans="1:6" x14ac:dyDescent="0.3">
      <c r="A204" s="113" t="s">
        <v>83</v>
      </c>
      <c r="B204" s="113" t="s">
        <v>49</v>
      </c>
      <c r="C204" s="113">
        <v>3</v>
      </c>
      <c r="D204" s="114">
        <f t="shared" si="14"/>
        <v>2020</v>
      </c>
      <c r="E204" s="114" t="str">
        <f t="shared" si="15"/>
        <v>Q2</v>
      </c>
      <c r="F204" s="116" t="str">
        <f t="shared" si="16"/>
        <v>COVID</v>
      </c>
    </row>
    <row r="205" spans="1:6" x14ac:dyDescent="0.3">
      <c r="A205" s="113" t="s">
        <v>83</v>
      </c>
      <c r="B205" s="113" t="s">
        <v>50</v>
      </c>
      <c r="C205" s="113">
        <v>120</v>
      </c>
      <c r="D205" s="114">
        <f t="shared" si="14"/>
        <v>2020</v>
      </c>
      <c r="E205" s="114" t="str">
        <f t="shared" si="15"/>
        <v>Q2</v>
      </c>
      <c r="F205" s="116" t="str">
        <f t="shared" si="16"/>
        <v>COVID</v>
      </c>
    </row>
    <row r="206" spans="1:6" x14ac:dyDescent="0.3">
      <c r="A206" s="113" t="s">
        <v>84</v>
      </c>
      <c r="B206" s="113" t="s">
        <v>45</v>
      </c>
      <c r="C206" s="113">
        <v>1453684</v>
      </c>
      <c r="D206" s="114">
        <f t="shared" si="14"/>
        <v>2020</v>
      </c>
      <c r="E206" s="114" t="str">
        <f t="shared" si="15"/>
        <v>Q3</v>
      </c>
      <c r="F206" s="116" t="str">
        <f t="shared" si="16"/>
        <v>COVID</v>
      </c>
    </row>
    <row r="207" spans="1:6" x14ac:dyDescent="0.3">
      <c r="A207" s="113" t="s">
        <v>84</v>
      </c>
      <c r="B207" s="113" t="s">
        <v>46</v>
      </c>
      <c r="C207" s="113">
        <v>90287</v>
      </c>
      <c r="D207" s="114">
        <f t="shared" si="14"/>
        <v>2020</v>
      </c>
      <c r="E207" s="114" t="str">
        <f t="shared" si="15"/>
        <v>Q3</v>
      </c>
      <c r="F207" s="116" t="str">
        <f t="shared" si="16"/>
        <v>COVID</v>
      </c>
    </row>
    <row r="208" spans="1:6" x14ac:dyDescent="0.3">
      <c r="A208" s="113" t="s">
        <v>84</v>
      </c>
      <c r="B208" s="113" t="s">
        <v>47</v>
      </c>
      <c r="C208" s="113">
        <v>1270411</v>
      </c>
      <c r="D208" s="114">
        <f t="shared" si="14"/>
        <v>2020</v>
      </c>
      <c r="E208" s="114" t="str">
        <f t="shared" si="15"/>
        <v>Q3</v>
      </c>
      <c r="F208" s="116" t="str">
        <f t="shared" si="16"/>
        <v>COVID</v>
      </c>
    </row>
    <row r="209" spans="1:6" x14ac:dyDescent="0.3">
      <c r="A209" s="113" t="s">
        <v>84</v>
      </c>
      <c r="B209" s="113" t="s">
        <v>48</v>
      </c>
      <c r="C209" s="113">
        <v>19968</v>
      </c>
      <c r="D209" s="114">
        <f t="shared" si="14"/>
        <v>2020</v>
      </c>
      <c r="E209" s="114" t="str">
        <f t="shared" si="15"/>
        <v>Q3</v>
      </c>
      <c r="F209" s="116" t="str">
        <f t="shared" si="16"/>
        <v>COVID</v>
      </c>
    </row>
    <row r="210" spans="1:6" x14ac:dyDescent="0.3">
      <c r="A210" s="113" t="s">
        <v>84</v>
      </c>
      <c r="B210" s="113" t="s">
        <v>49</v>
      </c>
      <c r="C210" s="113">
        <v>27513</v>
      </c>
      <c r="D210" s="114">
        <f t="shared" si="14"/>
        <v>2020</v>
      </c>
      <c r="E210" s="114" t="str">
        <f t="shared" si="15"/>
        <v>Q3</v>
      </c>
      <c r="F210" s="116" t="str">
        <f t="shared" si="16"/>
        <v>COVID</v>
      </c>
    </row>
    <row r="211" spans="1:6" x14ac:dyDescent="0.3">
      <c r="A211" s="113" t="s">
        <v>84</v>
      </c>
      <c r="B211" s="113" t="s">
        <v>50</v>
      </c>
      <c r="C211" s="113">
        <v>45505</v>
      </c>
      <c r="D211" s="114">
        <f t="shared" si="14"/>
        <v>2020</v>
      </c>
      <c r="E211" s="114" t="str">
        <f t="shared" si="15"/>
        <v>Q3</v>
      </c>
      <c r="F211" s="116" t="str">
        <f t="shared" si="16"/>
        <v>COVID</v>
      </c>
    </row>
    <row r="212" spans="1:6" x14ac:dyDescent="0.3">
      <c r="A212" s="113" t="s">
        <v>85</v>
      </c>
      <c r="B212" s="113" t="s">
        <v>45</v>
      </c>
      <c r="C212" s="113">
        <v>759119</v>
      </c>
      <c r="D212" s="114">
        <f t="shared" si="14"/>
        <v>2020</v>
      </c>
      <c r="E212" s="114" t="str">
        <f t="shared" si="15"/>
        <v>Q4</v>
      </c>
      <c r="F212" s="116" t="str">
        <f t="shared" si="16"/>
        <v>COVID</v>
      </c>
    </row>
    <row r="213" spans="1:6" x14ac:dyDescent="0.3">
      <c r="A213" s="113" t="s">
        <v>85</v>
      </c>
      <c r="B213" s="113" t="s">
        <v>46</v>
      </c>
      <c r="C213" s="113">
        <v>31461</v>
      </c>
      <c r="D213" s="114">
        <f t="shared" si="14"/>
        <v>2020</v>
      </c>
      <c r="E213" s="114" t="str">
        <f t="shared" si="15"/>
        <v>Q4</v>
      </c>
      <c r="F213" s="116" t="str">
        <f t="shared" si="16"/>
        <v>COVID</v>
      </c>
    </row>
    <row r="214" spans="1:6" x14ac:dyDescent="0.3">
      <c r="A214" s="113" t="s">
        <v>85</v>
      </c>
      <c r="B214" s="113" t="s">
        <v>47</v>
      </c>
      <c r="C214" s="113">
        <v>702109</v>
      </c>
      <c r="D214" s="114">
        <f t="shared" si="14"/>
        <v>2020</v>
      </c>
      <c r="E214" s="114" t="str">
        <f t="shared" si="15"/>
        <v>Q4</v>
      </c>
      <c r="F214" s="116" t="str">
        <f t="shared" si="16"/>
        <v>COVID</v>
      </c>
    </row>
    <row r="215" spans="1:6" x14ac:dyDescent="0.3">
      <c r="A215" s="113" t="s">
        <v>85</v>
      </c>
      <c r="B215" s="113" t="s">
        <v>48</v>
      </c>
      <c r="C215" s="113">
        <v>6420</v>
      </c>
      <c r="D215" s="114">
        <f t="shared" si="14"/>
        <v>2020</v>
      </c>
      <c r="E215" s="114" t="str">
        <f t="shared" si="15"/>
        <v>Q4</v>
      </c>
      <c r="F215" s="116" t="str">
        <f t="shared" si="16"/>
        <v>COVID</v>
      </c>
    </row>
    <row r="216" spans="1:6" x14ac:dyDescent="0.3">
      <c r="A216" s="113" t="s">
        <v>85</v>
      </c>
      <c r="B216" s="113" t="s">
        <v>49</v>
      </c>
      <c r="C216" s="113">
        <v>7048</v>
      </c>
      <c r="D216" s="114">
        <f t="shared" si="14"/>
        <v>2020</v>
      </c>
      <c r="E216" s="114" t="str">
        <f t="shared" si="15"/>
        <v>Q4</v>
      </c>
      <c r="F216" s="116" t="str">
        <f t="shared" si="16"/>
        <v>COVID</v>
      </c>
    </row>
    <row r="217" spans="1:6" x14ac:dyDescent="0.3">
      <c r="A217" s="113" t="s">
        <v>85</v>
      </c>
      <c r="B217" s="113" t="s">
        <v>50</v>
      </c>
      <c r="C217" s="113">
        <v>12081</v>
      </c>
      <c r="D217" s="114">
        <f t="shared" si="14"/>
        <v>2020</v>
      </c>
      <c r="E217" s="114" t="str">
        <f t="shared" si="15"/>
        <v>Q4</v>
      </c>
      <c r="F217" s="116" t="str">
        <f t="shared" si="16"/>
        <v>COVID</v>
      </c>
    </row>
    <row r="218" spans="1:6" x14ac:dyDescent="0.3">
      <c r="A218" s="113" t="s">
        <v>86</v>
      </c>
      <c r="B218" s="113" t="s">
        <v>45</v>
      </c>
      <c r="C218" s="113">
        <v>418969</v>
      </c>
      <c r="D218" s="114">
        <f t="shared" si="14"/>
        <v>2021</v>
      </c>
      <c r="E218" s="114" t="str">
        <f t="shared" si="15"/>
        <v>Q1</v>
      </c>
      <c r="F218" s="116" t="str">
        <f t="shared" si="16"/>
        <v>COVID</v>
      </c>
    </row>
    <row r="219" spans="1:6" x14ac:dyDescent="0.3">
      <c r="A219" s="113" t="s">
        <v>86</v>
      </c>
      <c r="B219" s="113" t="s">
        <v>46</v>
      </c>
      <c r="C219" s="113">
        <v>8926</v>
      </c>
      <c r="D219" s="114">
        <f t="shared" si="14"/>
        <v>2021</v>
      </c>
      <c r="E219" s="114" t="str">
        <f t="shared" si="15"/>
        <v>Q1</v>
      </c>
      <c r="F219" s="116" t="str">
        <f t="shared" si="16"/>
        <v>COVID</v>
      </c>
    </row>
    <row r="220" spans="1:6" x14ac:dyDescent="0.3">
      <c r="A220" s="113" t="s">
        <v>86</v>
      </c>
      <c r="B220" s="113" t="s">
        <v>47</v>
      </c>
      <c r="C220" s="113">
        <v>405112</v>
      </c>
      <c r="D220" s="114">
        <f t="shared" si="14"/>
        <v>2021</v>
      </c>
      <c r="E220" s="114" t="str">
        <f t="shared" si="15"/>
        <v>Q1</v>
      </c>
      <c r="F220" s="116" t="str">
        <f t="shared" si="16"/>
        <v>COVID</v>
      </c>
    </row>
    <row r="221" spans="1:6" x14ac:dyDescent="0.3">
      <c r="A221" s="113" t="s">
        <v>86</v>
      </c>
      <c r="B221" s="113" t="s">
        <v>48</v>
      </c>
      <c r="C221" s="113">
        <v>1988</v>
      </c>
      <c r="D221" s="114">
        <f t="shared" si="14"/>
        <v>2021</v>
      </c>
      <c r="E221" s="114" t="str">
        <f t="shared" si="15"/>
        <v>Q1</v>
      </c>
      <c r="F221" s="116" t="str">
        <f t="shared" si="16"/>
        <v>COVID</v>
      </c>
    </row>
    <row r="222" spans="1:6" x14ac:dyDescent="0.3">
      <c r="A222" s="113" t="s">
        <v>86</v>
      </c>
      <c r="B222" s="113" t="s">
        <v>49</v>
      </c>
      <c r="C222" s="113">
        <v>621</v>
      </c>
      <c r="D222" s="114">
        <f t="shared" si="14"/>
        <v>2021</v>
      </c>
      <c r="E222" s="114" t="str">
        <f t="shared" si="15"/>
        <v>Q1</v>
      </c>
      <c r="F222" s="116" t="str">
        <f t="shared" si="16"/>
        <v>COVID</v>
      </c>
    </row>
    <row r="223" spans="1:6" x14ac:dyDescent="0.3">
      <c r="A223" s="113" t="s">
        <v>86</v>
      </c>
      <c r="B223" s="113" t="s">
        <v>50</v>
      </c>
      <c r="C223" s="113">
        <v>2322</v>
      </c>
      <c r="D223" s="114">
        <f t="shared" si="14"/>
        <v>2021</v>
      </c>
      <c r="E223" s="114" t="str">
        <f t="shared" si="15"/>
        <v>Q1</v>
      </c>
      <c r="F223" s="116" t="str">
        <f t="shared" si="16"/>
        <v>COVID</v>
      </c>
    </row>
    <row r="224" spans="1:6" x14ac:dyDescent="0.3">
      <c r="A224" s="113" t="s">
        <v>87</v>
      </c>
      <c r="B224" s="113" t="s">
        <v>45</v>
      </c>
      <c r="C224" s="113">
        <v>596349</v>
      </c>
      <c r="D224" s="114">
        <f t="shared" si="14"/>
        <v>2021</v>
      </c>
      <c r="E224" s="114" t="str">
        <f t="shared" si="15"/>
        <v>Q2</v>
      </c>
      <c r="F224" s="116" t="str">
        <f t="shared" si="16"/>
        <v>COVID</v>
      </c>
    </row>
    <row r="225" spans="1:6" x14ac:dyDescent="0.3">
      <c r="A225" s="113" t="s">
        <v>87</v>
      </c>
      <c r="B225" s="113" t="s">
        <v>46</v>
      </c>
      <c r="C225" s="113">
        <v>24931</v>
      </c>
      <c r="D225" s="114">
        <f t="shared" si="14"/>
        <v>2021</v>
      </c>
      <c r="E225" s="114" t="str">
        <f t="shared" si="15"/>
        <v>Q2</v>
      </c>
      <c r="F225" s="116" t="str">
        <f t="shared" si="16"/>
        <v>COVID</v>
      </c>
    </row>
    <row r="226" spans="1:6" x14ac:dyDescent="0.3">
      <c r="A226" s="113" t="s">
        <v>87</v>
      </c>
      <c r="B226" s="113" t="s">
        <v>47</v>
      </c>
      <c r="C226" s="113">
        <v>554749</v>
      </c>
      <c r="D226" s="114">
        <f t="shared" si="14"/>
        <v>2021</v>
      </c>
      <c r="E226" s="114" t="str">
        <f t="shared" si="15"/>
        <v>Q2</v>
      </c>
      <c r="F226" s="116" t="str">
        <f t="shared" si="16"/>
        <v>COVID</v>
      </c>
    </row>
    <row r="227" spans="1:6" x14ac:dyDescent="0.3">
      <c r="A227" s="113" t="s">
        <v>87</v>
      </c>
      <c r="B227" s="113" t="s">
        <v>48</v>
      </c>
      <c r="C227" s="113">
        <v>4301</v>
      </c>
      <c r="D227" s="114">
        <f t="shared" si="14"/>
        <v>2021</v>
      </c>
      <c r="E227" s="114" t="str">
        <f t="shared" si="15"/>
        <v>Q2</v>
      </c>
      <c r="F227" s="116" t="str">
        <f t="shared" si="16"/>
        <v>COVID</v>
      </c>
    </row>
    <row r="228" spans="1:6" x14ac:dyDescent="0.3">
      <c r="A228" s="113" t="s">
        <v>87</v>
      </c>
      <c r="B228" s="113" t="s">
        <v>49</v>
      </c>
      <c r="C228" s="113">
        <v>2079</v>
      </c>
      <c r="D228" s="114">
        <f t="shared" si="14"/>
        <v>2021</v>
      </c>
      <c r="E228" s="114" t="str">
        <f t="shared" si="15"/>
        <v>Q2</v>
      </c>
      <c r="F228" s="116" t="str">
        <f t="shared" si="16"/>
        <v>COVID</v>
      </c>
    </row>
    <row r="229" spans="1:6" x14ac:dyDescent="0.3">
      <c r="A229" s="113" t="s">
        <v>87</v>
      </c>
      <c r="B229" s="113" t="s">
        <v>50</v>
      </c>
      <c r="C229" s="113">
        <v>10289</v>
      </c>
      <c r="D229" s="114">
        <f t="shared" si="14"/>
        <v>2021</v>
      </c>
      <c r="E229" s="114" t="str">
        <f t="shared" si="15"/>
        <v>Q2</v>
      </c>
      <c r="F229" s="116" t="str">
        <f t="shared" si="16"/>
        <v>COVID</v>
      </c>
    </row>
    <row r="230" spans="1:6" x14ac:dyDescent="0.3">
      <c r="A230" s="113" t="s">
        <v>88</v>
      </c>
      <c r="B230" s="113" t="s">
        <v>45</v>
      </c>
      <c r="C230" s="113">
        <v>3576508</v>
      </c>
      <c r="D230" s="114">
        <f t="shared" si="14"/>
        <v>2021</v>
      </c>
      <c r="E230" s="114" t="str">
        <f t="shared" si="15"/>
        <v>Q3</v>
      </c>
      <c r="F230" s="116" t="str">
        <f t="shared" si="16"/>
        <v>COVID</v>
      </c>
    </row>
    <row r="231" spans="1:6" x14ac:dyDescent="0.3">
      <c r="A231" s="113" t="s">
        <v>88</v>
      </c>
      <c r="B231" s="113" t="s">
        <v>46</v>
      </c>
      <c r="C231" s="113">
        <v>133809</v>
      </c>
      <c r="D231" s="114">
        <f t="shared" si="14"/>
        <v>2021</v>
      </c>
      <c r="E231" s="114" t="str">
        <f t="shared" si="15"/>
        <v>Q3</v>
      </c>
      <c r="F231" s="116" t="str">
        <f t="shared" si="16"/>
        <v>COVID</v>
      </c>
    </row>
    <row r="232" spans="1:6" x14ac:dyDescent="0.3">
      <c r="A232" s="113" t="s">
        <v>88</v>
      </c>
      <c r="B232" s="113" t="s">
        <v>47</v>
      </c>
      <c r="C232" s="113">
        <v>3202834</v>
      </c>
      <c r="D232" s="114">
        <f t="shared" si="14"/>
        <v>2021</v>
      </c>
      <c r="E232" s="114" t="str">
        <f t="shared" si="15"/>
        <v>Q3</v>
      </c>
      <c r="F232" s="116" t="str">
        <f t="shared" si="16"/>
        <v>COVID</v>
      </c>
    </row>
    <row r="233" spans="1:6" x14ac:dyDescent="0.3">
      <c r="A233" s="113" t="s">
        <v>88</v>
      </c>
      <c r="B233" s="113" t="s">
        <v>48</v>
      </c>
      <c r="C233" s="113">
        <v>45426</v>
      </c>
      <c r="D233" s="114">
        <f t="shared" si="14"/>
        <v>2021</v>
      </c>
      <c r="E233" s="114" t="str">
        <f t="shared" si="15"/>
        <v>Q3</v>
      </c>
      <c r="F233" s="116" t="str">
        <f t="shared" si="16"/>
        <v>COVID</v>
      </c>
    </row>
    <row r="234" spans="1:6" x14ac:dyDescent="0.3">
      <c r="A234" s="113" t="s">
        <v>88</v>
      </c>
      <c r="B234" s="113" t="s">
        <v>49</v>
      </c>
      <c r="C234" s="113">
        <v>69145</v>
      </c>
      <c r="D234" s="114">
        <f t="shared" si="14"/>
        <v>2021</v>
      </c>
      <c r="E234" s="114" t="str">
        <f t="shared" si="15"/>
        <v>Q3</v>
      </c>
      <c r="F234" s="116" t="str">
        <f t="shared" si="16"/>
        <v>COVID</v>
      </c>
    </row>
    <row r="235" spans="1:6" x14ac:dyDescent="0.3">
      <c r="A235" s="113" t="s">
        <v>88</v>
      </c>
      <c r="B235" s="113" t="s">
        <v>50</v>
      </c>
      <c r="C235" s="113">
        <v>125294</v>
      </c>
      <c r="D235" s="114">
        <f t="shared" si="14"/>
        <v>2021</v>
      </c>
      <c r="E235" s="114" t="str">
        <f t="shared" si="15"/>
        <v>Q3</v>
      </c>
      <c r="F235" s="116" t="str">
        <f t="shared" si="16"/>
        <v>COVID</v>
      </c>
    </row>
    <row r="236" spans="1:6" x14ac:dyDescent="0.3">
      <c r="A236" s="113" t="s">
        <v>89</v>
      </c>
      <c r="B236" s="113" t="s">
        <v>45</v>
      </c>
      <c r="C236" s="113">
        <v>4541051</v>
      </c>
      <c r="D236" s="114">
        <f t="shared" si="14"/>
        <v>2021</v>
      </c>
      <c r="E236" s="114" t="str">
        <f t="shared" si="15"/>
        <v>Q4</v>
      </c>
      <c r="F236" s="116" t="str">
        <f t="shared" si="16"/>
        <v>COVID</v>
      </c>
    </row>
    <row r="237" spans="1:6" x14ac:dyDescent="0.3">
      <c r="A237" s="113" t="s">
        <v>89</v>
      </c>
      <c r="B237" s="113" t="s">
        <v>46</v>
      </c>
      <c r="C237" s="113">
        <v>87349</v>
      </c>
      <c r="D237" s="114">
        <f t="shared" si="14"/>
        <v>2021</v>
      </c>
      <c r="E237" s="114" t="str">
        <f t="shared" si="15"/>
        <v>Q4</v>
      </c>
      <c r="F237" s="116" t="str">
        <f t="shared" si="16"/>
        <v>COVID</v>
      </c>
    </row>
    <row r="238" spans="1:6" x14ac:dyDescent="0.3">
      <c r="A238" s="113" t="s">
        <v>89</v>
      </c>
      <c r="B238" s="113" t="s">
        <v>47</v>
      </c>
      <c r="C238" s="113">
        <v>4103576</v>
      </c>
      <c r="D238" s="114">
        <f t="shared" si="14"/>
        <v>2021</v>
      </c>
      <c r="E238" s="114" t="str">
        <f t="shared" si="15"/>
        <v>Q4</v>
      </c>
      <c r="F238" s="116" t="str">
        <f t="shared" si="16"/>
        <v>COVID</v>
      </c>
    </row>
    <row r="239" spans="1:6" x14ac:dyDescent="0.3">
      <c r="A239" s="113" t="s">
        <v>89</v>
      </c>
      <c r="B239" s="113" t="s">
        <v>48</v>
      </c>
      <c r="C239" s="113">
        <v>63683</v>
      </c>
      <c r="D239" s="114">
        <f t="shared" si="14"/>
        <v>2021</v>
      </c>
      <c r="E239" s="114" t="str">
        <f t="shared" si="15"/>
        <v>Q4</v>
      </c>
      <c r="F239" s="116" t="str">
        <f t="shared" si="16"/>
        <v>COVID</v>
      </c>
    </row>
    <row r="240" spans="1:6" x14ac:dyDescent="0.3">
      <c r="A240" s="113" t="s">
        <v>89</v>
      </c>
      <c r="B240" s="113" t="s">
        <v>49</v>
      </c>
      <c r="C240" s="113">
        <v>102186</v>
      </c>
      <c r="D240" s="114">
        <f t="shared" si="14"/>
        <v>2021</v>
      </c>
      <c r="E240" s="114" t="str">
        <f t="shared" si="15"/>
        <v>Q4</v>
      </c>
      <c r="F240" s="116" t="str">
        <f t="shared" si="16"/>
        <v>COVID</v>
      </c>
    </row>
    <row r="241" spans="1:6" x14ac:dyDescent="0.3">
      <c r="A241" s="113" t="s">
        <v>89</v>
      </c>
      <c r="B241" s="113" t="s">
        <v>50</v>
      </c>
      <c r="C241" s="113">
        <v>184257</v>
      </c>
      <c r="D241" s="114">
        <f t="shared" si="14"/>
        <v>2021</v>
      </c>
      <c r="E241" s="114" t="str">
        <f t="shared" si="15"/>
        <v>Q4</v>
      </c>
      <c r="F241" s="116" t="str">
        <f t="shared" si="16"/>
        <v>COVID</v>
      </c>
    </row>
    <row r="242" spans="1:6" x14ac:dyDescent="0.3">
      <c r="A242" s="113" t="s">
        <v>90</v>
      </c>
      <c r="B242" s="113" t="s">
        <v>45</v>
      </c>
      <c r="C242" s="113">
        <v>4700322</v>
      </c>
      <c r="D242" s="114">
        <f t="shared" si="14"/>
        <v>2022</v>
      </c>
      <c r="E242" s="114" t="str">
        <f t="shared" si="15"/>
        <v>Q1</v>
      </c>
      <c r="F242" s="117" t="str">
        <f t="shared" si="16"/>
        <v>Post-COVID</v>
      </c>
    </row>
    <row r="243" spans="1:6" x14ac:dyDescent="0.3">
      <c r="A243" s="113" t="s">
        <v>90</v>
      </c>
      <c r="B243" s="113" t="s">
        <v>46</v>
      </c>
      <c r="C243" s="113">
        <v>288323</v>
      </c>
      <c r="D243" s="114">
        <f t="shared" si="14"/>
        <v>2022</v>
      </c>
      <c r="E243" s="114" t="str">
        <f t="shared" si="15"/>
        <v>Q1</v>
      </c>
      <c r="F243" s="117" t="str">
        <f t="shared" si="16"/>
        <v>Post-COVID</v>
      </c>
    </row>
    <row r="244" spans="1:6" x14ac:dyDescent="0.3">
      <c r="A244" s="113" t="s">
        <v>90</v>
      </c>
      <c r="B244" s="113" t="s">
        <v>47</v>
      </c>
      <c r="C244" s="113">
        <v>4099571</v>
      </c>
      <c r="D244" s="114">
        <f t="shared" si="14"/>
        <v>2022</v>
      </c>
      <c r="E244" s="114" t="str">
        <f t="shared" si="15"/>
        <v>Q1</v>
      </c>
      <c r="F244" s="117" t="str">
        <f t="shared" si="16"/>
        <v>Post-COVID</v>
      </c>
    </row>
    <row r="245" spans="1:6" x14ac:dyDescent="0.3">
      <c r="A245" s="113" t="s">
        <v>90</v>
      </c>
      <c r="B245" s="113" t="s">
        <v>48</v>
      </c>
      <c r="C245" s="113">
        <v>44836</v>
      </c>
      <c r="D245" s="114">
        <f t="shared" si="14"/>
        <v>2022</v>
      </c>
      <c r="E245" s="114" t="str">
        <f t="shared" si="15"/>
        <v>Q1</v>
      </c>
      <c r="F245" s="117" t="str">
        <f t="shared" si="16"/>
        <v>Post-COVID</v>
      </c>
    </row>
    <row r="246" spans="1:6" x14ac:dyDescent="0.3">
      <c r="A246" s="113" t="s">
        <v>90</v>
      </c>
      <c r="B246" s="113" t="s">
        <v>49</v>
      </c>
      <c r="C246" s="113">
        <v>86381</v>
      </c>
      <c r="D246" s="114">
        <f t="shared" si="14"/>
        <v>2022</v>
      </c>
      <c r="E246" s="114" t="str">
        <f t="shared" si="15"/>
        <v>Q1</v>
      </c>
      <c r="F246" s="117" t="str">
        <f t="shared" si="16"/>
        <v>Post-COVID</v>
      </c>
    </row>
    <row r="247" spans="1:6" x14ac:dyDescent="0.3">
      <c r="A247" s="113" t="s">
        <v>90</v>
      </c>
      <c r="B247" s="113" t="s">
        <v>50</v>
      </c>
      <c r="C247" s="113">
        <v>181211</v>
      </c>
      <c r="D247" s="114">
        <f t="shared" si="14"/>
        <v>2022</v>
      </c>
      <c r="E247" s="114" t="str">
        <f t="shared" si="15"/>
        <v>Q1</v>
      </c>
      <c r="F247" s="117" t="str">
        <f t="shared" si="16"/>
        <v>Post-COVID</v>
      </c>
    </row>
    <row r="248" spans="1:6" x14ac:dyDescent="0.3">
      <c r="A248" s="113" t="s">
        <v>91</v>
      </c>
      <c r="B248" s="113" t="s">
        <v>45</v>
      </c>
      <c r="C248" s="113">
        <v>9134970</v>
      </c>
      <c r="D248" s="114">
        <f t="shared" si="14"/>
        <v>2022</v>
      </c>
      <c r="E248" s="114" t="str">
        <f t="shared" si="15"/>
        <v>Q2</v>
      </c>
      <c r="F248" s="117" t="str">
        <f t="shared" si="16"/>
        <v>Post-COVID</v>
      </c>
    </row>
    <row r="249" spans="1:6" x14ac:dyDescent="0.3">
      <c r="A249" s="113" t="s">
        <v>91</v>
      </c>
      <c r="B249" s="113" t="s">
        <v>46</v>
      </c>
      <c r="C249" s="113">
        <v>645215</v>
      </c>
      <c r="D249" s="114">
        <f t="shared" si="14"/>
        <v>2022</v>
      </c>
      <c r="E249" s="114" t="str">
        <f t="shared" si="15"/>
        <v>Q2</v>
      </c>
      <c r="F249" s="117" t="str">
        <f t="shared" si="16"/>
        <v>Post-COVID</v>
      </c>
    </row>
    <row r="250" spans="1:6" x14ac:dyDescent="0.3">
      <c r="A250" s="113" t="s">
        <v>91</v>
      </c>
      <c r="B250" s="113" t="s">
        <v>47</v>
      </c>
      <c r="C250" s="113">
        <v>7779695</v>
      </c>
      <c r="D250" s="114">
        <f t="shared" si="14"/>
        <v>2022</v>
      </c>
      <c r="E250" s="114" t="str">
        <f t="shared" si="15"/>
        <v>Q2</v>
      </c>
      <c r="F250" s="117" t="str">
        <f t="shared" si="16"/>
        <v>Post-COVID</v>
      </c>
    </row>
    <row r="251" spans="1:6" x14ac:dyDescent="0.3">
      <c r="A251" s="113" t="s">
        <v>91</v>
      </c>
      <c r="B251" s="113" t="s">
        <v>48</v>
      </c>
      <c r="C251" s="113">
        <v>102093</v>
      </c>
      <c r="D251" s="114">
        <f t="shared" si="14"/>
        <v>2022</v>
      </c>
      <c r="E251" s="114" t="str">
        <f t="shared" si="15"/>
        <v>Q2</v>
      </c>
      <c r="F251" s="117" t="str">
        <f t="shared" si="16"/>
        <v>Post-COVID</v>
      </c>
    </row>
    <row r="252" spans="1:6" x14ac:dyDescent="0.3">
      <c r="A252" s="113" t="s">
        <v>91</v>
      </c>
      <c r="B252" s="113" t="s">
        <v>49</v>
      </c>
      <c r="C252" s="113">
        <v>200028</v>
      </c>
      <c r="D252" s="114">
        <f t="shared" si="14"/>
        <v>2022</v>
      </c>
      <c r="E252" s="114" t="str">
        <f t="shared" si="15"/>
        <v>Q2</v>
      </c>
      <c r="F252" s="117" t="str">
        <f t="shared" si="16"/>
        <v>Post-COVID</v>
      </c>
    </row>
    <row r="253" spans="1:6" x14ac:dyDescent="0.3">
      <c r="A253" s="113" t="s">
        <v>91</v>
      </c>
      <c r="B253" s="113" t="s">
        <v>50</v>
      </c>
      <c r="C253" s="113">
        <v>407939</v>
      </c>
      <c r="D253" s="114">
        <f t="shared" si="14"/>
        <v>2022</v>
      </c>
      <c r="E253" s="114" t="str">
        <f t="shared" si="15"/>
        <v>Q2</v>
      </c>
      <c r="F253" s="117" t="str">
        <f t="shared" si="16"/>
        <v>Post-COVID</v>
      </c>
    </row>
    <row r="254" spans="1:6" x14ac:dyDescent="0.3">
      <c r="A254" s="113" t="s">
        <v>92</v>
      </c>
      <c r="B254" s="113" t="s">
        <v>45</v>
      </c>
      <c r="C254" s="113">
        <v>10444239</v>
      </c>
      <c r="D254" s="114">
        <f t="shared" si="14"/>
        <v>2022</v>
      </c>
      <c r="E254" s="114" t="str">
        <f t="shared" si="15"/>
        <v>Q3</v>
      </c>
      <c r="F254" s="117" t="str">
        <f t="shared" si="16"/>
        <v>Post-COVID</v>
      </c>
    </row>
    <row r="255" spans="1:6" x14ac:dyDescent="0.3">
      <c r="A255" s="113" t="s">
        <v>92</v>
      </c>
      <c r="B255" s="113" t="s">
        <v>46</v>
      </c>
      <c r="C255" s="113">
        <v>767806</v>
      </c>
      <c r="D255" s="114">
        <f t="shared" si="14"/>
        <v>2022</v>
      </c>
      <c r="E255" s="114" t="str">
        <f t="shared" si="15"/>
        <v>Q3</v>
      </c>
      <c r="F255" s="117" t="str">
        <f t="shared" si="16"/>
        <v>Post-COVID</v>
      </c>
    </row>
    <row r="256" spans="1:6" x14ac:dyDescent="0.3">
      <c r="A256" s="113" t="s">
        <v>92</v>
      </c>
      <c r="B256" s="113" t="s">
        <v>47</v>
      </c>
      <c r="C256" s="113">
        <v>8840733</v>
      </c>
      <c r="D256" s="114">
        <f t="shared" si="14"/>
        <v>2022</v>
      </c>
      <c r="E256" s="114" t="str">
        <f t="shared" si="15"/>
        <v>Q3</v>
      </c>
      <c r="F256" s="117" t="str">
        <f t="shared" si="16"/>
        <v>Post-COVID</v>
      </c>
    </row>
    <row r="257" spans="1:6" x14ac:dyDescent="0.3">
      <c r="A257" s="113" t="s">
        <v>92</v>
      </c>
      <c r="B257" s="113" t="s">
        <v>48</v>
      </c>
      <c r="C257" s="113">
        <v>118069</v>
      </c>
      <c r="D257" s="114">
        <f t="shared" si="14"/>
        <v>2022</v>
      </c>
      <c r="E257" s="114" t="str">
        <f t="shared" si="15"/>
        <v>Q3</v>
      </c>
      <c r="F257" s="117" t="str">
        <f t="shared" si="16"/>
        <v>Post-COVID</v>
      </c>
    </row>
    <row r="258" spans="1:6" x14ac:dyDescent="0.3">
      <c r="A258" s="113" t="s">
        <v>92</v>
      </c>
      <c r="B258" s="113" t="s">
        <v>49</v>
      </c>
      <c r="C258" s="113">
        <v>252595</v>
      </c>
      <c r="D258" s="114">
        <f t="shared" si="14"/>
        <v>2022</v>
      </c>
      <c r="E258" s="114" t="str">
        <f t="shared" si="15"/>
        <v>Q3</v>
      </c>
      <c r="F258" s="117" t="str">
        <f t="shared" si="16"/>
        <v>Post-COVID</v>
      </c>
    </row>
    <row r="259" spans="1:6" x14ac:dyDescent="0.3">
      <c r="A259" s="113" t="s">
        <v>92</v>
      </c>
      <c r="B259" s="113" t="s">
        <v>50</v>
      </c>
      <c r="C259" s="113">
        <v>465036</v>
      </c>
      <c r="D259" s="114">
        <f t="shared" si="14"/>
        <v>2022</v>
      </c>
      <c r="E259" s="114" t="str">
        <f t="shared" si="15"/>
        <v>Q3</v>
      </c>
      <c r="F259" s="117" t="str">
        <f t="shared" si="16"/>
        <v>Post-COVID</v>
      </c>
    </row>
    <row r="260" spans="1:6" x14ac:dyDescent="0.3">
      <c r="A260" s="113" t="s">
        <v>93</v>
      </c>
      <c r="B260" s="113" t="s">
        <v>45</v>
      </c>
      <c r="C260" s="113">
        <v>8238809</v>
      </c>
      <c r="D260" s="114">
        <f t="shared" ref="D260:D322" si="17">VALUE(LEFT(A260,4))</f>
        <v>2022</v>
      </c>
      <c r="E260" s="114" t="str">
        <f t="shared" ref="E260:E322" si="18">RIGHT(A260,2)</f>
        <v>Q4</v>
      </c>
      <c r="F260" s="117" t="str">
        <f t="shared" ref="F260:F322" si="19">IF(D260&lt;=2019,"Pre-COVID",IF(D260&lt;=2021,"COVID","Post-COVID"))</f>
        <v>Post-COVID</v>
      </c>
    </row>
    <row r="261" spans="1:6" x14ac:dyDescent="0.3">
      <c r="A261" s="113" t="s">
        <v>93</v>
      </c>
      <c r="B261" s="113" t="s">
        <v>46</v>
      </c>
      <c r="C261" s="113">
        <v>537111</v>
      </c>
      <c r="D261" s="114">
        <f t="shared" si="17"/>
        <v>2022</v>
      </c>
      <c r="E261" s="114" t="str">
        <f t="shared" si="18"/>
        <v>Q4</v>
      </c>
      <c r="F261" s="117" t="str">
        <f t="shared" si="19"/>
        <v>Post-COVID</v>
      </c>
    </row>
    <row r="262" spans="1:6" x14ac:dyDescent="0.3">
      <c r="A262" s="113" t="s">
        <v>93</v>
      </c>
      <c r="B262" s="113" t="s">
        <v>47</v>
      </c>
      <c r="C262" s="113">
        <v>7073346</v>
      </c>
      <c r="D262" s="114">
        <f t="shared" si="17"/>
        <v>2022</v>
      </c>
      <c r="E262" s="114" t="str">
        <f t="shared" si="18"/>
        <v>Q4</v>
      </c>
      <c r="F262" s="117" t="str">
        <f t="shared" si="19"/>
        <v>Post-COVID</v>
      </c>
    </row>
    <row r="263" spans="1:6" x14ac:dyDescent="0.3">
      <c r="A263" s="113" t="s">
        <v>93</v>
      </c>
      <c r="B263" s="113" t="s">
        <v>48</v>
      </c>
      <c r="C263" s="113">
        <v>90045</v>
      </c>
      <c r="D263" s="114">
        <f t="shared" si="17"/>
        <v>2022</v>
      </c>
      <c r="E263" s="114" t="str">
        <f t="shared" si="18"/>
        <v>Q4</v>
      </c>
      <c r="F263" s="117" t="str">
        <f t="shared" si="19"/>
        <v>Post-COVID</v>
      </c>
    </row>
    <row r="264" spans="1:6" x14ac:dyDescent="0.3">
      <c r="A264" s="113" t="s">
        <v>93</v>
      </c>
      <c r="B264" s="113" t="s">
        <v>49</v>
      </c>
      <c r="C264" s="113">
        <v>170536</v>
      </c>
      <c r="D264" s="114">
        <f t="shared" si="17"/>
        <v>2022</v>
      </c>
      <c r="E264" s="114" t="str">
        <f t="shared" si="18"/>
        <v>Q4</v>
      </c>
      <c r="F264" s="117" t="str">
        <f t="shared" si="19"/>
        <v>Post-COVID</v>
      </c>
    </row>
    <row r="265" spans="1:6" x14ac:dyDescent="0.3">
      <c r="A265" s="113" t="s">
        <v>93</v>
      </c>
      <c r="B265" s="113" t="s">
        <v>50</v>
      </c>
      <c r="C265" s="113">
        <v>367771</v>
      </c>
      <c r="D265" s="114">
        <f t="shared" si="17"/>
        <v>2022</v>
      </c>
      <c r="E265" s="114" t="str">
        <f t="shared" si="18"/>
        <v>Q4</v>
      </c>
      <c r="F265" s="117" t="str">
        <f t="shared" si="19"/>
        <v>Post-COVID</v>
      </c>
    </row>
    <row r="266" spans="1:6" x14ac:dyDescent="0.3">
      <c r="A266" s="113" t="s">
        <v>94</v>
      </c>
      <c r="B266" s="113" t="s">
        <v>45</v>
      </c>
      <c r="C266" s="113">
        <v>7622484</v>
      </c>
      <c r="D266" s="114">
        <f t="shared" si="17"/>
        <v>2023</v>
      </c>
      <c r="E266" s="114" t="str">
        <f t="shared" si="18"/>
        <v>Q1</v>
      </c>
      <c r="F266" s="117" t="str">
        <f t="shared" si="19"/>
        <v>Post-COVID</v>
      </c>
    </row>
    <row r="267" spans="1:6" x14ac:dyDescent="0.3">
      <c r="A267" s="113" t="s">
        <v>94</v>
      </c>
      <c r="B267" s="113" t="s">
        <v>46</v>
      </c>
      <c r="C267" s="113">
        <v>499021</v>
      </c>
      <c r="D267" s="114">
        <f t="shared" si="17"/>
        <v>2023</v>
      </c>
      <c r="E267" s="114" t="str">
        <f t="shared" si="18"/>
        <v>Q1</v>
      </c>
      <c r="F267" s="117" t="str">
        <f t="shared" si="19"/>
        <v>Post-COVID</v>
      </c>
    </row>
    <row r="268" spans="1:6" x14ac:dyDescent="0.3">
      <c r="A268" s="113" t="s">
        <v>94</v>
      </c>
      <c r="B268" s="113" t="s">
        <v>47</v>
      </c>
      <c r="C268" s="113">
        <v>6589966</v>
      </c>
      <c r="D268" s="114">
        <f t="shared" si="17"/>
        <v>2023</v>
      </c>
      <c r="E268" s="114" t="str">
        <f t="shared" si="18"/>
        <v>Q1</v>
      </c>
      <c r="F268" s="117" t="str">
        <f t="shared" si="19"/>
        <v>Post-COVID</v>
      </c>
    </row>
    <row r="269" spans="1:6" x14ac:dyDescent="0.3">
      <c r="A269" s="113" t="s">
        <v>94</v>
      </c>
      <c r="B269" s="113" t="s">
        <v>48</v>
      </c>
      <c r="C269" s="113">
        <v>72347</v>
      </c>
      <c r="D269" s="114">
        <f t="shared" si="17"/>
        <v>2023</v>
      </c>
      <c r="E269" s="114" t="str">
        <f t="shared" si="18"/>
        <v>Q1</v>
      </c>
      <c r="F269" s="117" t="str">
        <f t="shared" si="19"/>
        <v>Post-COVID</v>
      </c>
    </row>
    <row r="270" spans="1:6" x14ac:dyDescent="0.3">
      <c r="A270" s="113" t="s">
        <v>94</v>
      </c>
      <c r="B270" s="113" t="s">
        <v>49</v>
      </c>
      <c r="C270" s="113">
        <v>132657</v>
      </c>
      <c r="D270" s="114">
        <f t="shared" si="17"/>
        <v>2023</v>
      </c>
      <c r="E270" s="114" t="str">
        <f t="shared" si="18"/>
        <v>Q1</v>
      </c>
      <c r="F270" s="117" t="str">
        <f t="shared" si="19"/>
        <v>Post-COVID</v>
      </c>
    </row>
    <row r="271" spans="1:6" x14ac:dyDescent="0.3">
      <c r="A271" s="113" t="s">
        <v>94</v>
      </c>
      <c r="B271" s="113" t="s">
        <v>50</v>
      </c>
      <c r="C271" s="113">
        <v>328493</v>
      </c>
      <c r="D271" s="114">
        <f t="shared" si="17"/>
        <v>2023</v>
      </c>
      <c r="E271" s="114" t="str">
        <f t="shared" si="18"/>
        <v>Q1</v>
      </c>
      <c r="F271" s="117" t="str">
        <f t="shared" si="19"/>
        <v>Post-COVID</v>
      </c>
    </row>
    <row r="272" spans="1:6" x14ac:dyDescent="0.3">
      <c r="A272" s="113" t="s">
        <v>95</v>
      </c>
      <c r="B272" s="113" t="s">
        <v>45</v>
      </c>
      <c r="C272" s="113">
        <v>10744701</v>
      </c>
      <c r="D272" s="114">
        <f t="shared" si="17"/>
        <v>2023</v>
      </c>
      <c r="E272" s="114" t="str">
        <f t="shared" si="18"/>
        <v>Q2</v>
      </c>
      <c r="F272" s="117" t="str">
        <f t="shared" si="19"/>
        <v>Post-COVID</v>
      </c>
    </row>
    <row r="273" spans="1:6" x14ac:dyDescent="0.3">
      <c r="A273" s="113" t="s">
        <v>95</v>
      </c>
      <c r="B273" s="113" t="s">
        <v>46</v>
      </c>
      <c r="C273" s="113">
        <v>791720</v>
      </c>
      <c r="D273" s="114">
        <f t="shared" si="17"/>
        <v>2023</v>
      </c>
      <c r="E273" s="114" t="str">
        <f t="shared" si="18"/>
        <v>Q2</v>
      </c>
      <c r="F273" s="117" t="str">
        <f t="shared" si="19"/>
        <v>Post-COVID</v>
      </c>
    </row>
    <row r="274" spans="1:6" x14ac:dyDescent="0.3">
      <c r="A274" s="113" t="s">
        <v>95</v>
      </c>
      <c r="B274" s="113" t="s">
        <v>47</v>
      </c>
      <c r="C274" s="113">
        <v>9058940</v>
      </c>
      <c r="D274" s="114">
        <f t="shared" si="17"/>
        <v>2023</v>
      </c>
      <c r="E274" s="114" t="str">
        <f t="shared" si="18"/>
        <v>Q2</v>
      </c>
      <c r="F274" s="117" t="str">
        <f t="shared" si="19"/>
        <v>Post-COVID</v>
      </c>
    </row>
    <row r="275" spans="1:6" x14ac:dyDescent="0.3">
      <c r="A275" s="113" t="s">
        <v>95</v>
      </c>
      <c r="B275" s="113" t="s">
        <v>48</v>
      </c>
      <c r="C275" s="113">
        <v>117608</v>
      </c>
      <c r="D275" s="114">
        <f t="shared" si="17"/>
        <v>2023</v>
      </c>
      <c r="E275" s="114" t="str">
        <f t="shared" si="18"/>
        <v>Q2</v>
      </c>
      <c r="F275" s="117" t="str">
        <f t="shared" si="19"/>
        <v>Post-COVID</v>
      </c>
    </row>
    <row r="276" spans="1:6" x14ac:dyDescent="0.3">
      <c r="A276" s="113" t="s">
        <v>95</v>
      </c>
      <c r="B276" s="113" t="s">
        <v>49</v>
      </c>
      <c r="C276" s="113">
        <v>230010</v>
      </c>
      <c r="D276" s="114">
        <f t="shared" si="17"/>
        <v>2023</v>
      </c>
      <c r="E276" s="114" t="str">
        <f t="shared" si="18"/>
        <v>Q2</v>
      </c>
      <c r="F276" s="117" t="str">
        <f t="shared" si="19"/>
        <v>Post-COVID</v>
      </c>
    </row>
    <row r="277" spans="1:6" x14ac:dyDescent="0.3">
      <c r="A277" s="113" t="s">
        <v>95</v>
      </c>
      <c r="B277" s="113" t="s">
        <v>50</v>
      </c>
      <c r="C277" s="113">
        <v>546423</v>
      </c>
      <c r="D277" s="114">
        <f t="shared" si="17"/>
        <v>2023</v>
      </c>
      <c r="E277" s="114" t="str">
        <f t="shared" si="18"/>
        <v>Q2</v>
      </c>
      <c r="F277" s="117" t="str">
        <f t="shared" si="19"/>
        <v>Post-COVID</v>
      </c>
    </row>
    <row r="278" spans="1:6" x14ac:dyDescent="0.3">
      <c r="A278" s="113" t="s">
        <v>96</v>
      </c>
      <c r="B278" s="113" t="s">
        <v>45</v>
      </c>
      <c r="C278" s="113">
        <v>11799615</v>
      </c>
      <c r="D278" s="114">
        <f t="shared" si="17"/>
        <v>2023</v>
      </c>
      <c r="E278" s="114" t="str">
        <f t="shared" si="18"/>
        <v>Q3</v>
      </c>
      <c r="F278" s="117" t="str">
        <f t="shared" si="19"/>
        <v>Post-COVID</v>
      </c>
    </row>
    <row r="279" spans="1:6" x14ac:dyDescent="0.3">
      <c r="A279" s="113" t="s">
        <v>96</v>
      </c>
      <c r="B279" s="113" t="s">
        <v>46</v>
      </c>
      <c r="C279" s="113">
        <v>866942</v>
      </c>
      <c r="D279" s="114">
        <f t="shared" si="17"/>
        <v>2023</v>
      </c>
      <c r="E279" s="114" t="str">
        <f t="shared" si="18"/>
        <v>Q3</v>
      </c>
      <c r="F279" s="117" t="str">
        <f t="shared" si="19"/>
        <v>Post-COVID</v>
      </c>
    </row>
    <row r="280" spans="1:6" x14ac:dyDescent="0.3">
      <c r="A280" s="113" t="s">
        <v>96</v>
      </c>
      <c r="B280" s="113" t="s">
        <v>47</v>
      </c>
      <c r="C280" s="113">
        <v>9929211</v>
      </c>
      <c r="D280" s="114">
        <f t="shared" si="17"/>
        <v>2023</v>
      </c>
      <c r="E280" s="114" t="str">
        <f t="shared" si="18"/>
        <v>Q3</v>
      </c>
      <c r="F280" s="117" t="str">
        <f t="shared" si="19"/>
        <v>Post-COVID</v>
      </c>
    </row>
    <row r="281" spans="1:6" x14ac:dyDescent="0.3">
      <c r="A281" s="113" t="s">
        <v>96</v>
      </c>
      <c r="B281" s="113" t="s">
        <v>48</v>
      </c>
      <c r="C281" s="113">
        <v>133729</v>
      </c>
      <c r="D281" s="114">
        <f t="shared" si="17"/>
        <v>2023</v>
      </c>
      <c r="E281" s="114" t="str">
        <f t="shared" si="18"/>
        <v>Q3</v>
      </c>
      <c r="F281" s="117" t="str">
        <f t="shared" si="19"/>
        <v>Post-COVID</v>
      </c>
    </row>
    <row r="282" spans="1:6" x14ac:dyDescent="0.3">
      <c r="A282" s="113" t="s">
        <v>96</v>
      </c>
      <c r="B282" s="113" t="s">
        <v>49</v>
      </c>
      <c r="C282" s="113">
        <v>268345</v>
      </c>
      <c r="D282" s="114">
        <f t="shared" si="17"/>
        <v>2023</v>
      </c>
      <c r="E282" s="114" t="str">
        <f t="shared" si="18"/>
        <v>Q3</v>
      </c>
      <c r="F282" s="117" t="str">
        <f t="shared" si="19"/>
        <v>Post-COVID</v>
      </c>
    </row>
    <row r="283" spans="1:6" x14ac:dyDescent="0.3">
      <c r="A283" s="113" t="s">
        <v>96</v>
      </c>
      <c r="B283" s="113" t="s">
        <v>50</v>
      </c>
      <c r="C283" s="113">
        <v>601388</v>
      </c>
      <c r="D283" s="114">
        <f t="shared" si="17"/>
        <v>2023</v>
      </c>
      <c r="E283" s="114" t="str">
        <f t="shared" si="18"/>
        <v>Q3</v>
      </c>
      <c r="F283" s="117" t="str">
        <f t="shared" si="19"/>
        <v>Post-COVID</v>
      </c>
    </row>
    <row r="284" spans="1:6" x14ac:dyDescent="0.3">
      <c r="A284" s="113" t="s">
        <v>97</v>
      </c>
      <c r="B284" s="113" t="s">
        <v>45</v>
      </c>
      <c r="C284" s="113">
        <v>9019601</v>
      </c>
      <c r="D284" s="114">
        <f t="shared" si="17"/>
        <v>2023</v>
      </c>
      <c r="E284" s="114" t="str">
        <f t="shared" si="18"/>
        <v>Q4</v>
      </c>
      <c r="F284" s="117" t="str">
        <f t="shared" si="19"/>
        <v>Post-COVID</v>
      </c>
    </row>
    <row r="285" spans="1:6" x14ac:dyDescent="0.3">
      <c r="A285" s="113" t="s">
        <v>97</v>
      </c>
      <c r="B285" s="113" t="s">
        <v>46</v>
      </c>
      <c r="C285" s="113">
        <v>640341</v>
      </c>
      <c r="D285" s="114">
        <f t="shared" si="17"/>
        <v>2023</v>
      </c>
      <c r="E285" s="114" t="str">
        <f t="shared" si="18"/>
        <v>Q4</v>
      </c>
      <c r="F285" s="117" t="str">
        <f t="shared" si="19"/>
        <v>Post-COVID</v>
      </c>
    </row>
    <row r="286" spans="1:6" x14ac:dyDescent="0.3">
      <c r="A286" s="113" t="s">
        <v>97</v>
      </c>
      <c r="B286" s="113" t="s">
        <v>47</v>
      </c>
      <c r="C286" s="113">
        <v>7684824</v>
      </c>
      <c r="D286" s="114">
        <f t="shared" si="17"/>
        <v>2023</v>
      </c>
      <c r="E286" s="114" t="str">
        <f t="shared" si="18"/>
        <v>Q4</v>
      </c>
      <c r="F286" s="117" t="str">
        <f t="shared" si="19"/>
        <v>Post-COVID</v>
      </c>
    </row>
    <row r="287" spans="1:6" x14ac:dyDescent="0.3">
      <c r="A287" s="113" t="s">
        <v>97</v>
      </c>
      <c r="B287" s="113" t="s">
        <v>48</v>
      </c>
      <c r="C287" s="113">
        <v>90887</v>
      </c>
      <c r="D287" s="114">
        <f t="shared" si="17"/>
        <v>2023</v>
      </c>
      <c r="E287" s="114" t="str">
        <f t="shared" si="18"/>
        <v>Q4</v>
      </c>
      <c r="F287" s="117" t="str">
        <f t="shared" si="19"/>
        <v>Post-COVID</v>
      </c>
    </row>
    <row r="288" spans="1:6" x14ac:dyDescent="0.3">
      <c r="A288" s="113" t="s">
        <v>97</v>
      </c>
      <c r="B288" s="113" t="s">
        <v>49</v>
      </c>
      <c r="C288" s="113">
        <v>182254</v>
      </c>
      <c r="D288" s="114">
        <f t="shared" si="17"/>
        <v>2023</v>
      </c>
      <c r="E288" s="114" t="str">
        <f t="shared" si="18"/>
        <v>Q4</v>
      </c>
      <c r="F288" s="117" t="str">
        <f t="shared" si="19"/>
        <v>Post-COVID</v>
      </c>
    </row>
    <row r="289" spans="1:6" x14ac:dyDescent="0.3">
      <c r="A289" s="113" t="s">
        <v>97</v>
      </c>
      <c r="B289" s="113" t="s">
        <v>50</v>
      </c>
      <c r="C289" s="113">
        <v>421295</v>
      </c>
      <c r="D289" s="114">
        <f t="shared" si="17"/>
        <v>2023</v>
      </c>
      <c r="E289" s="114" t="str">
        <f t="shared" si="18"/>
        <v>Q4</v>
      </c>
      <c r="F289" s="117" t="str">
        <f t="shared" si="19"/>
        <v>Post-COVID</v>
      </c>
    </row>
    <row r="290" spans="1:6" x14ac:dyDescent="0.3">
      <c r="A290" s="113" t="s">
        <v>98</v>
      </c>
      <c r="B290" s="113" t="s">
        <v>45</v>
      </c>
      <c r="C290" s="113">
        <v>8227159</v>
      </c>
      <c r="D290" s="114">
        <f t="shared" si="17"/>
        <v>2024</v>
      </c>
      <c r="E290" s="114" t="str">
        <f t="shared" si="18"/>
        <v>Q1</v>
      </c>
      <c r="F290" s="117" t="str">
        <f t="shared" si="19"/>
        <v>Post-COVID</v>
      </c>
    </row>
    <row r="291" spans="1:6" x14ac:dyDescent="0.3">
      <c r="A291" s="113" t="s">
        <v>98</v>
      </c>
      <c r="B291" s="113" t="s">
        <v>46</v>
      </c>
      <c r="C291" s="113">
        <v>601989</v>
      </c>
      <c r="D291" s="114">
        <f t="shared" si="17"/>
        <v>2024</v>
      </c>
      <c r="E291" s="114" t="str">
        <f t="shared" si="18"/>
        <v>Q1</v>
      </c>
      <c r="F291" s="117" t="str">
        <f t="shared" si="19"/>
        <v>Post-COVID</v>
      </c>
    </row>
    <row r="292" spans="1:6" x14ac:dyDescent="0.3">
      <c r="A292" s="113" t="s">
        <v>98</v>
      </c>
      <c r="B292" s="113" t="s">
        <v>47</v>
      </c>
      <c r="C292" s="113">
        <v>7025552</v>
      </c>
      <c r="D292" s="114">
        <f t="shared" si="17"/>
        <v>2024</v>
      </c>
      <c r="E292" s="114" t="str">
        <f t="shared" si="18"/>
        <v>Q1</v>
      </c>
      <c r="F292" s="117" t="str">
        <f t="shared" si="19"/>
        <v>Post-COVID</v>
      </c>
    </row>
    <row r="293" spans="1:6" x14ac:dyDescent="0.3">
      <c r="A293" s="113" t="s">
        <v>98</v>
      </c>
      <c r="B293" s="113" t="s">
        <v>48</v>
      </c>
      <c r="C293" s="113">
        <v>71277</v>
      </c>
      <c r="D293" s="114">
        <f t="shared" si="17"/>
        <v>2024</v>
      </c>
      <c r="E293" s="114" t="str">
        <f t="shared" si="18"/>
        <v>Q1</v>
      </c>
      <c r="F293" s="117" t="str">
        <f t="shared" si="19"/>
        <v>Post-COVID</v>
      </c>
    </row>
    <row r="294" spans="1:6" x14ac:dyDescent="0.3">
      <c r="A294" s="113" t="s">
        <v>98</v>
      </c>
      <c r="B294" s="113" t="s">
        <v>49</v>
      </c>
      <c r="C294" s="113">
        <v>158595</v>
      </c>
      <c r="D294" s="114">
        <f t="shared" si="17"/>
        <v>2024</v>
      </c>
      <c r="E294" s="114" t="str">
        <f t="shared" si="18"/>
        <v>Q1</v>
      </c>
      <c r="F294" s="117" t="str">
        <f t="shared" si="19"/>
        <v>Post-COVID</v>
      </c>
    </row>
    <row r="295" spans="1:6" x14ac:dyDescent="0.3">
      <c r="A295" s="113" t="s">
        <v>98</v>
      </c>
      <c r="B295" s="113" t="s">
        <v>50</v>
      </c>
      <c r="C295" s="113">
        <v>369746</v>
      </c>
      <c r="D295" s="114">
        <f t="shared" si="17"/>
        <v>2024</v>
      </c>
      <c r="E295" s="114" t="str">
        <f t="shared" si="18"/>
        <v>Q1</v>
      </c>
      <c r="F295" s="117" t="str">
        <f t="shared" si="19"/>
        <v>Post-COVID</v>
      </c>
    </row>
    <row r="296" spans="1:6" x14ac:dyDescent="0.3">
      <c r="A296" s="113" t="s">
        <v>99</v>
      </c>
      <c r="B296" s="113" t="s">
        <v>45</v>
      </c>
      <c r="C296" s="113">
        <v>11231664</v>
      </c>
      <c r="D296" s="114">
        <f t="shared" si="17"/>
        <v>2024</v>
      </c>
      <c r="E296" s="114" t="str">
        <f t="shared" si="18"/>
        <v>Q2</v>
      </c>
      <c r="F296" s="117" t="str">
        <f t="shared" si="19"/>
        <v>Post-COVID</v>
      </c>
    </row>
    <row r="297" spans="1:6" x14ac:dyDescent="0.3">
      <c r="A297" s="113" t="s">
        <v>99</v>
      </c>
      <c r="B297" s="113" t="s">
        <v>46</v>
      </c>
      <c r="C297" s="113">
        <v>832446</v>
      </c>
      <c r="D297" s="114">
        <f t="shared" si="17"/>
        <v>2024</v>
      </c>
      <c r="E297" s="114" t="str">
        <f t="shared" si="18"/>
        <v>Q2</v>
      </c>
      <c r="F297" s="117" t="str">
        <f t="shared" si="19"/>
        <v>Post-COVID</v>
      </c>
    </row>
    <row r="298" spans="1:6" x14ac:dyDescent="0.3">
      <c r="A298" s="113" t="s">
        <v>99</v>
      </c>
      <c r="B298" s="113" t="s">
        <v>47</v>
      </c>
      <c r="C298" s="113">
        <v>9479228</v>
      </c>
      <c r="D298" s="114">
        <f t="shared" si="17"/>
        <v>2024</v>
      </c>
      <c r="E298" s="114" t="str">
        <f t="shared" si="18"/>
        <v>Q2</v>
      </c>
      <c r="F298" s="117" t="str">
        <f t="shared" si="19"/>
        <v>Post-COVID</v>
      </c>
    </row>
    <row r="299" spans="1:6" x14ac:dyDescent="0.3">
      <c r="A299" s="113" t="s">
        <v>99</v>
      </c>
      <c r="B299" s="113" t="s">
        <v>48</v>
      </c>
      <c r="C299" s="113">
        <v>113094</v>
      </c>
      <c r="D299" s="114">
        <f t="shared" si="17"/>
        <v>2024</v>
      </c>
      <c r="E299" s="114" t="str">
        <f t="shared" si="18"/>
        <v>Q2</v>
      </c>
      <c r="F299" s="117" t="str">
        <f t="shared" si="19"/>
        <v>Post-COVID</v>
      </c>
    </row>
    <row r="300" spans="1:6" x14ac:dyDescent="0.3">
      <c r="A300" s="113" t="s">
        <v>99</v>
      </c>
      <c r="B300" s="113" t="s">
        <v>49</v>
      </c>
      <c r="C300" s="113">
        <v>230783</v>
      </c>
      <c r="D300" s="114">
        <f t="shared" si="17"/>
        <v>2024</v>
      </c>
      <c r="E300" s="114" t="str">
        <f t="shared" si="18"/>
        <v>Q2</v>
      </c>
      <c r="F300" s="117" t="str">
        <f t="shared" si="19"/>
        <v>Post-COVID</v>
      </c>
    </row>
    <row r="301" spans="1:6" x14ac:dyDescent="0.3">
      <c r="A301" s="113" t="s">
        <v>99</v>
      </c>
      <c r="B301" s="113" t="s">
        <v>50</v>
      </c>
      <c r="C301" s="113">
        <v>576113</v>
      </c>
      <c r="D301" s="114">
        <f t="shared" si="17"/>
        <v>2024</v>
      </c>
      <c r="E301" s="114" t="str">
        <f t="shared" si="18"/>
        <v>Q2</v>
      </c>
      <c r="F301" s="117" t="str">
        <f t="shared" si="19"/>
        <v>Post-COVID</v>
      </c>
    </row>
    <row r="302" spans="1:6" x14ac:dyDescent="0.3">
      <c r="A302" s="113" t="s">
        <v>100</v>
      </c>
      <c r="B302" s="113" t="s">
        <v>45</v>
      </c>
      <c r="C302" s="113">
        <v>12364310</v>
      </c>
      <c r="D302" s="114">
        <f t="shared" si="17"/>
        <v>2024</v>
      </c>
      <c r="E302" s="114" t="str">
        <f t="shared" si="18"/>
        <v>Q3</v>
      </c>
      <c r="F302" s="117" t="str">
        <f t="shared" si="19"/>
        <v>Post-COVID</v>
      </c>
    </row>
    <row r="303" spans="1:6" x14ac:dyDescent="0.3">
      <c r="A303" s="113" t="s">
        <v>100</v>
      </c>
      <c r="B303" s="113" t="s">
        <v>46</v>
      </c>
      <c r="C303" s="113">
        <v>963202</v>
      </c>
      <c r="D303" s="114">
        <f t="shared" si="17"/>
        <v>2024</v>
      </c>
      <c r="E303" s="114" t="str">
        <f t="shared" si="18"/>
        <v>Q3</v>
      </c>
      <c r="F303" s="117" t="str">
        <f t="shared" si="19"/>
        <v>Post-COVID</v>
      </c>
    </row>
    <row r="304" spans="1:6" x14ac:dyDescent="0.3">
      <c r="A304" s="113" t="s">
        <v>100</v>
      </c>
      <c r="B304" s="113" t="s">
        <v>47</v>
      </c>
      <c r="C304" s="113">
        <v>10369522</v>
      </c>
      <c r="D304" s="114">
        <f t="shared" si="17"/>
        <v>2024</v>
      </c>
      <c r="E304" s="114" t="str">
        <f t="shared" si="18"/>
        <v>Q3</v>
      </c>
      <c r="F304" s="117" t="str">
        <f t="shared" si="19"/>
        <v>Post-COVID</v>
      </c>
    </row>
    <row r="305" spans="1:6" x14ac:dyDescent="0.3">
      <c r="A305" s="113" t="s">
        <v>100</v>
      </c>
      <c r="B305" s="113" t="s">
        <v>48</v>
      </c>
      <c r="C305" s="113">
        <v>135505</v>
      </c>
      <c r="D305" s="114">
        <f t="shared" si="17"/>
        <v>2024</v>
      </c>
      <c r="E305" s="114" t="str">
        <f t="shared" si="18"/>
        <v>Q3</v>
      </c>
      <c r="F305" s="117" t="str">
        <f t="shared" si="19"/>
        <v>Post-COVID</v>
      </c>
    </row>
    <row r="306" spans="1:6" x14ac:dyDescent="0.3">
      <c r="A306" s="113" t="s">
        <v>100</v>
      </c>
      <c r="B306" s="113" t="s">
        <v>49</v>
      </c>
      <c r="C306" s="113">
        <v>253641</v>
      </c>
      <c r="D306" s="114">
        <f t="shared" si="17"/>
        <v>2024</v>
      </c>
      <c r="E306" s="114" t="str">
        <f t="shared" si="18"/>
        <v>Q3</v>
      </c>
      <c r="F306" s="117" t="str">
        <f t="shared" si="19"/>
        <v>Post-COVID</v>
      </c>
    </row>
    <row r="307" spans="1:6" x14ac:dyDescent="0.3">
      <c r="A307" s="113" t="s">
        <v>100</v>
      </c>
      <c r="B307" s="113" t="s">
        <v>50</v>
      </c>
      <c r="C307" s="113">
        <v>642440</v>
      </c>
      <c r="D307" s="114">
        <f t="shared" si="17"/>
        <v>2024</v>
      </c>
      <c r="E307" s="114" t="str">
        <f t="shared" si="18"/>
        <v>Q3</v>
      </c>
      <c r="F307" s="117" t="str">
        <f t="shared" si="19"/>
        <v>Post-COVID</v>
      </c>
    </row>
    <row r="308" spans="1:6" x14ac:dyDescent="0.3">
      <c r="A308" s="113" t="s">
        <v>101</v>
      </c>
      <c r="B308" s="113" t="s">
        <v>45</v>
      </c>
      <c r="C308" s="113">
        <v>9164632</v>
      </c>
      <c r="D308" s="114">
        <f t="shared" si="17"/>
        <v>2024</v>
      </c>
      <c r="E308" s="114" t="str">
        <f t="shared" si="18"/>
        <v>Q4</v>
      </c>
      <c r="F308" s="117" t="str">
        <f t="shared" si="19"/>
        <v>Post-COVID</v>
      </c>
    </row>
    <row r="309" spans="1:6" x14ac:dyDescent="0.3">
      <c r="A309" s="113" t="s">
        <v>101</v>
      </c>
      <c r="B309" s="113" t="s">
        <v>46</v>
      </c>
      <c r="C309" s="113">
        <v>670812</v>
      </c>
      <c r="D309" s="114">
        <f t="shared" si="17"/>
        <v>2024</v>
      </c>
      <c r="E309" s="114" t="str">
        <f t="shared" si="18"/>
        <v>Q4</v>
      </c>
      <c r="F309" s="117" t="str">
        <f t="shared" si="19"/>
        <v>Post-COVID</v>
      </c>
    </row>
    <row r="310" spans="1:6" x14ac:dyDescent="0.3">
      <c r="A310" s="113" t="s">
        <v>101</v>
      </c>
      <c r="B310" s="113" t="s">
        <v>47</v>
      </c>
      <c r="C310" s="113">
        <v>7748958</v>
      </c>
      <c r="D310" s="114">
        <f t="shared" si="17"/>
        <v>2024</v>
      </c>
      <c r="E310" s="114" t="str">
        <f t="shared" si="18"/>
        <v>Q4</v>
      </c>
      <c r="F310" s="117" t="str">
        <f t="shared" si="19"/>
        <v>Post-COVID</v>
      </c>
    </row>
    <row r="311" spans="1:6" x14ac:dyDescent="0.3">
      <c r="A311" s="113" t="s">
        <v>101</v>
      </c>
      <c r="B311" s="113" t="s">
        <v>48</v>
      </c>
      <c r="C311" s="113">
        <v>92158</v>
      </c>
      <c r="D311" s="114">
        <f t="shared" si="17"/>
        <v>2024</v>
      </c>
      <c r="E311" s="114" t="str">
        <f t="shared" si="18"/>
        <v>Q4</v>
      </c>
      <c r="F311" s="117" t="str">
        <f t="shared" si="19"/>
        <v>Post-COVID</v>
      </c>
    </row>
    <row r="312" spans="1:6" x14ac:dyDescent="0.3">
      <c r="A312" s="113" t="s">
        <v>101</v>
      </c>
      <c r="B312" s="113" t="s">
        <v>49</v>
      </c>
      <c r="C312" s="113">
        <v>190172</v>
      </c>
      <c r="D312" s="114">
        <f t="shared" si="17"/>
        <v>2024</v>
      </c>
      <c r="E312" s="114" t="str">
        <f t="shared" si="18"/>
        <v>Q4</v>
      </c>
      <c r="F312" s="117" t="str">
        <f t="shared" si="19"/>
        <v>Post-COVID</v>
      </c>
    </row>
    <row r="313" spans="1:6" x14ac:dyDescent="0.3">
      <c r="A313" s="113" t="s">
        <v>101</v>
      </c>
      <c r="B313" s="113" t="s">
        <v>50</v>
      </c>
      <c r="C313" s="113">
        <v>462532</v>
      </c>
      <c r="D313" s="114">
        <f t="shared" si="17"/>
        <v>2024</v>
      </c>
      <c r="E313" s="114" t="str">
        <f t="shared" si="18"/>
        <v>Q4</v>
      </c>
      <c r="F313" s="117" t="str">
        <f t="shared" si="19"/>
        <v>Post-COVID</v>
      </c>
    </row>
    <row r="314" spans="1:6" x14ac:dyDescent="0.3">
      <c r="A314" s="113" t="s">
        <v>102</v>
      </c>
      <c r="B314" s="113" t="s">
        <v>45</v>
      </c>
      <c r="C314" s="113">
        <v>8207430</v>
      </c>
      <c r="D314" s="114">
        <f t="shared" si="17"/>
        <v>2025</v>
      </c>
      <c r="E314" s="114" t="str">
        <f t="shared" si="18"/>
        <v>Q1</v>
      </c>
      <c r="F314" s="117" t="str">
        <f t="shared" si="19"/>
        <v>Post-COVID</v>
      </c>
    </row>
    <row r="315" spans="1:6" x14ac:dyDescent="0.3">
      <c r="A315" s="113" t="s">
        <v>102</v>
      </c>
      <c r="B315" s="113" t="s">
        <v>46</v>
      </c>
      <c r="C315" s="113">
        <v>648356</v>
      </c>
      <c r="D315" s="114">
        <f t="shared" si="17"/>
        <v>2025</v>
      </c>
      <c r="E315" s="114" t="str">
        <f t="shared" si="18"/>
        <v>Q1</v>
      </c>
      <c r="F315" s="117" t="str">
        <f t="shared" si="19"/>
        <v>Post-COVID</v>
      </c>
    </row>
    <row r="316" spans="1:6" x14ac:dyDescent="0.3">
      <c r="A316" s="113" t="s">
        <v>102</v>
      </c>
      <c r="B316" s="113" t="s">
        <v>47</v>
      </c>
      <c r="C316" s="113">
        <v>6933757</v>
      </c>
      <c r="D316" s="114">
        <f t="shared" si="17"/>
        <v>2025</v>
      </c>
      <c r="E316" s="114" t="str">
        <f t="shared" si="18"/>
        <v>Q1</v>
      </c>
      <c r="F316" s="117" t="str">
        <f t="shared" si="19"/>
        <v>Post-COVID</v>
      </c>
    </row>
    <row r="317" spans="1:6" x14ac:dyDescent="0.3">
      <c r="A317" s="113" t="s">
        <v>102</v>
      </c>
      <c r="B317" s="113" t="s">
        <v>48</v>
      </c>
      <c r="C317" s="113">
        <v>72175</v>
      </c>
      <c r="D317" s="114">
        <f t="shared" si="17"/>
        <v>2025</v>
      </c>
      <c r="E317" s="114" t="str">
        <f t="shared" si="18"/>
        <v>Q1</v>
      </c>
      <c r="F317" s="117" t="str">
        <f t="shared" si="19"/>
        <v>Post-COVID</v>
      </c>
    </row>
    <row r="318" spans="1:6" x14ac:dyDescent="0.3">
      <c r="A318" s="113" t="s">
        <v>102</v>
      </c>
      <c r="B318" s="113" t="s">
        <v>49</v>
      </c>
      <c r="C318" s="113">
        <v>168444</v>
      </c>
      <c r="D318" s="114">
        <f t="shared" si="17"/>
        <v>2025</v>
      </c>
      <c r="E318" s="114" t="str">
        <f t="shared" si="18"/>
        <v>Q1</v>
      </c>
      <c r="F318" s="117" t="str">
        <f t="shared" si="19"/>
        <v>Post-COVID</v>
      </c>
    </row>
    <row r="319" spans="1:6" x14ac:dyDescent="0.3">
      <c r="A319" s="113" t="s">
        <v>102</v>
      </c>
      <c r="B319" s="113" t="s">
        <v>50</v>
      </c>
      <c r="C319" s="113">
        <v>384698</v>
      </c>
      <c r="D319" s="114">
        <f t="shared" si="17"/>
        <v>2025</v>
      </c>
      <c r="E319" s="114" t="str">
        <f t="shared" si="18"/>
        <v>Q1</v>
      </c>
      <c r="F319" s="117" t="str">
        <f t="shared" si="19"/>
        <v>Post-COVID</v>
      </c>
    </row>
    <row r="320" spans="1:6" x14ac:dyDescent="0.3">
      <c r="A320" s="113" t="s">
        <v>103</v>
      </c>
      <c r="B320" s="113" t="s">
        <v>45</v>
      </c>
      <c r="C320" s="113">
        <v>12042620</v>
      </c>
      <c r="D320" s="114">
        <f t="shared" si="17"/>
        <v>2025</v>
      </c>
      <c r="E320" s="114" t="str">
        <f t="shared" si="18"/>
        <v>Q2</v>
      </c>
      <c r="F320" s="117" t="str">
        <f t="shared" si="19"/>
        <v>Post-COVID</v>
      </c>
    </row>
    <row r="321" spans="1:6" x14ac:dyDescent="0.3">
      <c r="A321" s="113" t="s">
        <v>103</v>
      </c>
      <c r="B321" s="113" t="s">
        <v>46</v>
      </c>
      <c r="C321" s="113">
        <v>993437</v>
      </c>
      <c r="D321" s="114">
        <f t="shared" si="17"/>
        <v>2025</v>
      </c>
      <c r="E321" s="114" t="str">
        <f t="shared" si="18"/>
        <v>Q2</v>
      </c>
      <c r="F321" s="117" t="str">
        <f t="shared" si="19"/>
        <v>Post-COVID</v>
      </c>
    </row>
    <row r="322" spans="1:6" x14ac:dyDescent="0.3">
      <c r="A322" s="113" t="s">
        <v>103</v>
      </c>
      <c r="B322" s="113" t="s">
        <v>47</v>
      </c>
      <c r="C322" s="113">
        <v>10017651</v>
      </c>
      <c r="D322" s="114">
        <f t="shared" si="17"/>
        <v>2025</v>
      </c>
      <c r="E322" s="114" t="str">
        <f t="shared" si="18"/>
        <v>Q2</v>
      </c>
      <c r="F322" s="117" t="str">
        <f t="shared" si="19"/>
        <v>Post-COVID</v>
      </c>
    </row>
    <row r="323" spans="1:6" x14ac:dyDescent="0.3">
      <c r="A323" s="113" t="s">
        <v>103</v>
      </c>
      <c r="B323" s="113" t="s">
        <v>48</v>
      </c>
      <c r="C323" s="113">
        <v>126964</v>
      </c>
      <c r="D323" s="114">
        <f t="shared" ref="D323:D325" si="20">VALUE(LEFT(A323,4))</f>
        <v>2025</v>
      </c>
      <c r="E323" s="114" t="str">
        <f t="shared" ref="E323:E325" si="21">RIGHT(A323,2)</f>
        <v>Q2</v>
      </c>
      <c r="F323" s="117" t="str">
        <f t="shared" ref="F323:F325" si="22">IF(D323&lt;=2019,"Pre-COVID",IF(D323&lt;=2021,"COVID","Post-COVID"))</f>
        <v>Post-COVID</v>
      </c>
    </row>
    <row r="324" spans="1:6" x14ac:dyDescent="0.3">
      <c r="A324" s="113" t="s">
        <v>103</v>
      </c>
      <c r="B324" s="113" t="s">
        <v>49</v>
      </c>
      <c r="C324" s="113">
        <v>271057</v>
      </c>
      <c r="D324" s="114">
        <f t="shared" si="20"/>
        <v>2025</v>
      </c>
      <c r="E324" s="114" t="str">
        <f t="shared" si="21"/>
        <v>Q2</v>
      </c>
      <c r="F324" s="117" t="str">
        <f t="shared" si="22"/>
        <v>Post-COVID</v>
      </c>
    </row>
    <row r="325" spans="1:6" x14ac:dyDescent="0.3">
      <c r="A325" s="113" t="s">
        <v>103</v>
      </c>
      <c r="B325" s="113" t="s">
        <v>50</v>
      </c>
      <c r="C325" s="113">
        <v>633511</v>
      </c>
      <c r="D325" s="114">
        <f t="shared" si="20"/>
        <v>2025</v>
      </c>
      <c r="E325" s="114" t="str">
        <f t="shared" si="21"/>
        <v>Q2</v>
      </c>
      <c r="F325" s="117" t="str">
        <f t="shared" si="22"/>
        <v>Post-COVID</v>
      </c>
    </row>
    <row r="326" spans="1:6" x14ac:dyDescent="0.3">
      <c r="D326" s="119"/>
      <c r="E326" s="119"/>
    </row>
    <row r="327" spans="1:6" x14ac:dyDescent="0.3">
      <c r="D327" s="119"/>
      <c r="E327" s="119"/>
    </row>
    <row r="328" spans="1:6" x14ac:dyDescent="0.3">
      <c r="D328" s="119"/>
      <c r="E328" s="119"/>
    </row>
    <row r="329" spans="1:6" x14ac:dyDescent="0.3">
      <c r="D329" s="119"/>
      <c r="E329" s="119"/>
    </row>
    <row r="330" spans="1:6" x14ac:dyDescent="0.3">
      <c r="D330" s="119"/>
      <c r="E330" s="119"/>
    </row>
    <row r="331" spans="1:6" x14ac:dyDescent="0.3">
      <c r="D331" s="119"/>
      <c r="E331" s="119"/>
    </row>
    <row r="332" spans="1:6" x14ac:dyDescent="0.3">
      <c r="D332" s="119"/>
      <c r="E332" s="119"/>
    </row>
    <row r="333" spans="1:6" x14ac:dyDescent="0.3">
      <c r="D333" s="119"/>
      <c r="E333" s="119"/>
    </row>
    <row r="334" spans="1:6" x14ac:dyDescent="0.3">
      <c r="D334" s="119"/>
      <c r="E334" s="119"/>
    </row>
    <row r="335" spans="1:6" x14ac:dyDescent="0.3">
      <c r="D335" s="119"/>
      <c r="E335" s="119"/>
    </row>
    <row r="336" spans="1:6" x14ac:dyDescent="0.3">
      <c r="D336" s="119"/>
      <c r="E336" s="119"/>
    </row>
    <row r="337" spans="4:5" x14ac:dyDescent="0.3">
      <c r="D337" s="119"/>
      <c r="E337" s="119"/>
    </row>
    <row r="338" spans="4:5" x14ac:dyDescent="0.3">
      <c r="D338" s="119"/>
      <c r="E338" s="119"/>
    </row>
    <row r="339" spans="4:5" x14ac:dyDescent="0.3">
      <c r="D339" s="119"/>
      <c r="E339" s="119"/>
    </row>
    <row r="340" spans="4:5" x14ac:dyDescent="0.3">
      <c r="D340" s="119"/>
      <c r="E340" s="119"/>
    </row>
    <row r="341" spans="4:5" x14ac:dyDescent="0.3">
      <c r="D341" s="119"/>
      <c r="E341" s="119"/>
    </row>
    <row r="342" spans="4:5" x14ac:dyDescent="0.3">
      <c r="D342" s="119"/>
      <c r="E342" s="119"/>
    </row>
    <row r="343" spans="4:5" x14ac:dyDescent="0.3">
      <c r="D343" s="119"/>
      <c r="E343" s="119"/>
    </row>
    <row r="344" spans="4:5" x14ac:dyDescent="0.3">
      <c r="D344" s="119"/>
      <c r="E344" s="119"/>
    </row>
    <row r="345" spans="4:5" x14ac:dyDescent="0.3">
      <c r="D345" s="119"/>
      <c r="E345" s="119"/>
    </row>
    <row r="346" spans="4:5" x14ac:dyDescent="0.3">
      <c r="D346" s="119"/>
      <c r="E346" s="119"/>
    </row>
    <row r="347" spans="4:5" x14ac:dyDescent="0.3">
      <c r="D347" s="119"/>
      <c r="E347" s="119"/>
    </row>
    <row r="348" spans="4:5" x14ac:dyDescent="0.3">
      <c r="D348" s="119"/>
      <c r="E348" s="119"/>
    </row>
    <row r="349" spans="4:5" x14ac:dyDescent="0.3">
      <c r="D349" s="119"/>
      <c r="E349" s="119"/>
    </row>
    <row r="350" spans="4:5" x14ac:dyDescent="0.3">
      <c r="D350" s="119"/>
      <c r="E350" s="119"/>
    </row>
    <row r="351" spans="4:5" x14ac:dyDescent="0.3">
      <c r="D351" s="119"/>
      <c r="E351" s="119"/>
    </row>
    <row r="352" spans="4:5" x14ac:dyDescent="0.3">
      <c r="D352" s="119"/>
      <c r="E352" s="119"/>
    </row>
    <row r="353" spans="4:5" x14ac:dyDescent="0.3">
      <c r="D353" s="119"/>
      <c r="E353" s="119"/>
    </row>
    <row r="354" spans="4:5" x14ac:dyDescent="0.3">
      <c r="D354" s="119"/>
      <c r="E354" s="119"/>
    </row>
    <row r="355" spans="4:5" x14ac:dyDescent="0.3">
      <c r="D355" s="119"/>
      <c r="E355" s="119"/>
    </row>
    <row r="356" spans="4:5" x14ac:dyDescent="0.3">
      <c r="D356" s="119"/>
      <c r="E356" s="119"/>
    </row>
    <row r="357" spans="4:5" x14ac:dyDescent="0.3">
      <c r="D357" s="119"/>
      <c r="E357" s="119"/>
    </row>
    <row r="358" spans="4:5" x14ac:dyDescent="0.3">
      <c r="D358" s="119"/>
      <c r="E358" s="119"/>
    </row>
    <row r="359" spans="4:5" x14ac:dyDescent="0.3">
      <c r="D359" s="119"/>
      <c r="E359" s="119"/>
    </row>
    <row r="360" spans="4:5" x14ac:dyDescent="0.3">
      <c r="D360" s="119"/>
      <c r="E360" s="119"/>
    </row>
    <row r="361" spans="4:5" x14ac:dyDescent="0.3">
      <c r="D361" s="119"/>
      <c r="E361" s="119"/>
    </row>
    <row r="362" spans="4:5" x14ac:dyDescent="0.3">
      <c r="D362" s="119"/>
      <c r="E362" s="119"/>
    </row>
    <row r="363" spans="4:5" x14ac:dyDescent="0.3">
      <c r="D363" s="119"/>
      <c r="E363" s="119"/>
    </row>
    <row r="364" spans="4:5" x14ac:dyDescent="0.3">
      <c r="D364" s="119"/>
      <c r="E364" s="119"/>
    </row>
    <row r="365" spans="4:5" x14ac:dyDescent="0.3">
      <c r="D365" s="119"/>
      <c r="E365" s="119"/>
    </row>
    <row r="366" spans="4:5" x14ac:dyDescent="0.3">
      <c r="D366" s="119"/>
      <c r="E366" s="119"/>
    </row>
    <row r="367" spans="4:5" x14ac:dyDescent="0.3">
      <c r="D367" s="119"/>
      <c r="E367" s="119"/>
    </row>
    <row r="368" spans="4:5" x14ac:dyDescent="0.3">
      <c r="D368" s="119"/>
      <c r="E368" s="119"/>
    </row>
    <row r="369" spans="4:5" x14ac:dyDescent="0.3">
      <c r="D369" s="119"/>
      <c r="E369" s="119"/>
    </row>
    <row r="370" spans="4:5" x14ac:dyDescent="0.3">
      <c r="D370" s="119"/>
      <c r="E370" s="119"/>
    </row>
    <row r="371" spans="4:5" x14ac:dyDescent="0.3">
      <c r="D371" s="119"/>
      <c r="E371" s="119"/>
    </row>
    <row r="372" spans="4:5" x14ac:dyDescent="0.3">
      <c r="D372" s="119"/>
      <c r="E372" s="119"/>
    </row>
    <row r="373" spans="4:5" x14ac:dyDescent="0.3">
      <c r="D373" s="119"/>
      <c r="E373" s="119"/>
    </row>
    <row r="374" spans="4:5" x14ac:dyDescent="0.3">
      <c r="D374" s="119"/>
      <c r="E374" s="119"/>
    </row>
    <row r="375" spans="4:5" x14ac:dyDescent="0.3">
      <c r="D375" s="119"/>
      <c r="E375" s="119"/>
    </row>
    <row r="376" spans="4:5" x14ac:dyDescent="0.3">
      <c r="D376" s="119"/>
      <c r="E376" s="119"/>
    </row>
    <row r="377" spans="4:5" x14ac:dyDescent="0.3">
      <c r="D377" s="119"/>
      <c r="E377" s="119"/>
    </row>
    <row r="378" spans="4:5" x14ac:dyDescent="0.3">
      <c r="D378" s="119"/>
      <c r="E378" s="119"/>
    </row>
    <row r="379" spans="4:5" x14ac:dyDescent="0.3">
      <c r="D379" s="119"/>
      <c r="E379" s="119"/>
    </row>
    <row r="380" spans="4:5" x14ac:dyDescent="0.3">
      <c r="D380" s="119"/>
      <c r="E380" s="119"/>
    </row>
    <row r="381" spans="4:5" x14ac:dyDescent="0.3">
      <c r="D381" s="119"/>
      <c r="E381" s="119"/>
    </row>
    <row r="382" spans="4:5" x14ac:dyDescent="0.3">
      <c r="D382" s="119"/>
      <c r="E382" s="119"/>
    </row>
    <row r="383" spans="4:5" x14ac:dyDescent="0.3">
      <c r="D383" s="119"/>
      <c r="E383" s="119"/>
    </row>
    <row r="384" spans="4:5" x14ac:dyDescent="0.3">
      <c r="D384" s="119"/>
      <c r="E384" s="119"/>
    </row>
    <row r="385" spans="4:5" x14ac:dyDescent="0.3">
      <c r="D385" s="119"/>
      <c r="E385" s="119"/>
    </row>
    <row r="386" spans="4:5" x14ac:dyDescent="0.3">
      <c r="D386" s="119"/>
      <c r="E386" s="119"/>
    </row>
    <row r="387" spans="4:5" x14ac:dyDescent="0.3">
      <c r="D387" s="119"/>
      <c r="E387" s="119"/>
    </row>
    <row r="388" spans="4:5" x14ac:dyDescent="0.3">
      <c r="D388" s="119"/>
      <c r="E388" s="119"/>
    </row>
    <row r="389" spans="4:5" x14ac:dyDescent="0.3">
      <c r="D389" s="119"/>
      <c r="E389" s="119"/>
    </row>
    <row r="390" spans="4:5" x14ac:dyDescent="0.3">
      <c r="D390" s="119"/>
      <c r="E390" s="119"/>
    </row>
    <row r="391" spans="4:5" x14ac:dyDescent="0.3">
      <c r="D391" s="119"/>
      <c r="E391" s="119"/>
    </row>
    <row r="392" spans="4:5" x14ac:dyDescent="0.3">
      <c r="D392" s="119"/>
      <c r="E392" s="119"/>
    </row>
    <row r="393" spans="4:5" x14ac:dyDescent="0.3">
      <c r="D393" s="119"/>
      <c r="E393" s="119"/>
    </row>
    <row r="394" spans="4:5" x14ac:dyDescent="0.3">
      <c r="D394" s="119"/>
      <c r="E394" s="119"/>
    </row>
    <row r="395" spans="4:5" x14ac:dyDescent="0.3">
      <c r="D395" s="119"/>
      <c r="E395" s="119"/>
    </row>
    <row r="396" spans="4:5" x14ac:dyDescent="0.3">
      <c r="D396" s="119"/>
      <c r="E396" s="119"/>
    </row>
    <row r="397" spans="4:5" x14ac:dyDescent="0.3">
      <c r="D397" s="119"/>
      <c r="E397" s="119"/>
    </row>
    <row r="398" spans="4:5" x14ac:dyDescent="0.3">
      <c r="D398" s="119"/>
      <c r="E398" s="119"/>
    </row>
    <row r="399" spans="4:5" x14ac:dyDescent="0.3">
      <c r="D399" s="119"/>
      <c r="E399" s="119"/>
    </row>
    <row r="400" spans="4:5" x14ac:dyDescent="0.3">
      <c r="D400" s="119"/>
      <c r="E400" s="119"/>
    </row>
    <row r="401" spans="4:5" x14ac:dyDescent="0.3">
      <c r="D401" s="119"/>
      <c r="E401" s="119"/>
    </row>
    <row r="402" spans="4:5" x14ac:dyDescent="0.3">
      <c r="D402" s="119"/>
      <c r="E402" s="119"/>
    </row>
    <row r="403" spans="4:5" x14ac:dyDescent="0.3">
      <c r="D403" s="119"/>
      <c r="E403" s="119"/>
    </row>
    <row r="404" spans="4:5" x14ac:dyDescent="0.3">
      <c r="D404" s="119"/>
      <c r="E404" s="119"/>
    </row>
    <row r="405" spans="4:5" x14ac:dyDescent="0.3">
      <c r="D405" s="119"/>
      <c r="E405" s="119"/>
    </row>
    <row r="406" spans="4:5" x14ac:dyDescent="0.3">
      <c r="D406" s="119"/>
      <c r="E406" s="119"/>
    </row>
    <row r="407" spans="4:5" x14ac:dyDescent="0.3">
      <c r="D407" s="119"/>
      <c r="E407" s="119"/>
    </row>
    <row r="408" spans="4:5" x14ac:dyDescent="0.3">
      <c r="D408" s="119"/>
      <c r="E408" s="119"/>
    </row>
    <row r="409" spans="4:5" x14ac:dyDescent="0.3">
      <c r="D409" s="119"/>
      <c r="E409" s="119"/>
    </row>
    <row r="410" spans="4:5" x14ac:dyDescent="0.3">
      <c r="D410" s="119"/>
      <c r="E410" s="119"/>
    </row>
    <row r="411" spans="4:5" x14ac:dyDescent="0.3">
      <c r="D411" s="119"/>
      <c r="E411" s="119"/>
    </row>
    <row r="412" spans="4:5" x14ac:dyDescent="0.3">
      <c r="D412" s="119"/>
      <c r="E412" s="119"/>
    </row>
    <row r="413" spans="4:5" x14ac:dyDescent="0.3">
      <c r="D413" s="119"/>
      <c r="E413" s="119"/>
    </row>
    <row r="414" spans="4:5" x14ac:dyDescent="0.3">
      <c r="D414" s="119"/>
      <c r="E414" s="119"/>
    </row>
    <row r="415" spans="4:5" x14ac:dyDescent="0.3">
      <c r="D415" s="119"/>
      <c r="E415" s="119"/>
    </row>
    <row r="416" spans="4:5" x14ac:dyDescent="0.3">
      <c r="D416" s="119"/>
      <c r="E416" s="119"/>
    </row>
    <row r="417" spans="4:5" x14ac:dyDescent="0.3">
      <c r="D417" s="119"/>
      <c r="E417" s="119"/>
    </row>
    <row r="418" spans="4:5" x14ac:dyDescent="0.3">
      <c r="D418" s="119"/>
      <c r="E418" s="119"/>
    </row>
    <row r="419" spans="4:5" x14ac:dyDescent="0.3">
      <c r="D419" s="119"/>
      <c r="E419" s="119"/>
    </row>
    <row r="420" spans="4:5" x14ac:dyDescent="0.3">
      <c r="D420" s="119"/>
      <c r="E420" s="119"/>
    </row>
    <row r="421" spans="4:5" x14ac:dyDescent="0.3">
      <c r="D421" s="119"/>
      <c r="E421" s="119"/>
    </row>
    <row r="422" spans="4:5" x14ac:dyDescent="0.3">
      <c r="D422" s="119"/>
      <c r="E422" s="119"/>
    </row>
    <row r="423" spans="4:5" x14ac:dyDescent="0.3">
      <c r="D423" s="119"/>
      <c r="E423" s="119"/>
    </row>
    <row r="424" spans="4:5" x14ac:dyDescent="0.3">
      <c r="D424" s="119"/>
      <c r="E424" s="119"/>
    </row>
    <row r="425" spans="4:5" x14ac:dyDescent="0.3">
      <c r="D425" s="119"/>
      <c r="E425" s="119"/>
    </row>
    <row r="426" spans="4:5" x14ac:dyDescent="0.3">
      <c r="D426" s="119"/>
      <c r="E426" s="119"/>
    </row>
    <row r="427" spans="4:5" x14ac:dyDescent="0.3">
      <c r="D427" s="119"/>
      <c r="E427" s="119"/>
    </row>
    <row r="428" spans="4:5" x14ac:dyDescent="0.3">
      <c r="D428" s="119"/>
      <c r="E428" s="119"/>
    </row>
    <row r="429" spans="4:5" x14ac:dyDescent="0.3">
      <c r="D429" s="119"/>
      <c r="E429" s="119"/>
    </row>
    <row r="430" spans="4:5" x14ac:dyDescent="0.3">
      <c r="D430" s="119"/>
      <c r="E430" s="119"/>
    </row>
    <row r="431" spans="4:5" x14ac:dyDescent="0.3">
      <c r="D431" s="119"/>
      <c r="E431" s="119"/>
    </row>
    <row r="432" spans="4:5" x14ac:dyDescent="0.3">
      <c r="D432" s="119"/>
      <c r="E432" s="119"/>
    </row>
    <row r="433" spans="4:5" x14ac:dyDescent="0.3">
      <c r="D433" s="119"/>
      <c r="E433" s="119"/>
    </row>
    <row r="434" spans="4:5" x14ac:dyDescent="0.3">
      <c r="D434" s="119"/>
      <c r="E434" s="119"/>
    </row>
    <row r="435" spans="4:5" x14ac:dyDescent="0.3">
      <c r="D435" s="119"/>
      <c r="E435" s="119"/>
    </row>
    <row r="436" spans="4:5" x14ac:dyDescent="0.3">
      <c r="D436" s="119"/>
      <c r="E436" s="119"/>
    </row>
    <row r="437" spans="4:5" x14ac:dyDescent="0.3">
      <c r="D437" s="119"/>
      <c r="E437" s="119"/>
    </row>
    <row r="438" spans="4:5" x14ac:dyDescent="0.3">
      <c r="D438" s="119"/>
      <c r="E438" s="119"/>
    </row>
    <row r="439" spans="4:5" x14ac:dyDescent="0.3">
      <c r="D439" s="119"/>
      <c r="E439" s="119"/>
    </row>
    <row r="440" spans="4:5" x14ac:dyDescent="0.3">
      <c r="D440" s="119"/>
      <c r="E440" s="119"/>
    </row>
    <row r="441" spans="4:5" x14ac:dyDescent="0.3">
      <c r="D441" s="119"/>
      <c r="E441" s="119"/>
    </row>
    <row r="442" spans="4:5" x14ac:dyDescent="0.3">
      <c r="D442" s="119"/>
      <c r="E442" s="119"/>
    </row>
    <row r="443" spans="4:5" x14ac:dyDescent="0.3">
      <c r="D443" s="119"/>
      <c r="E443" s="119"/>
    </row>
    <row r="444" spans="4:5" x14ac:dyDescent="0.3">
      <c r="D444" s="119"/>
      <c r="E444" s="119"/>
    </row>
    <row r="445" spans="4:5" x14ac:dyDescent="0.3">
      <c r="D445" s="119"/>
      <c r="E445" s="119"/>
    </row>
    <row r="446" spans="4:5" x14ac:dyDescent="0.3">
      <c r="D446" s="119"/>
      <c r="E446" s="119"/>
    </row>
    <row r="447" spans="4:5" x14ac:dyDescent="0.3">
      <c r="D447" s="119"/>
      <c r="E447" s="119"/>
    </row>
    <row r="448" spans="4:5" x14ac:dyDescent="0.3">
      <c r="D448" s="119"/>
      <c r="E448" s="119"/>
    </row>
    <row r="449" spans="4:5" x14ac:dyDescent="0.3">
      <c r="D449" s="119"/>
      <c r="E449" s="119"/>
    </row>
    <row r="450" spans="4:5" x14ac:dyDescent="0.3">
      <c r="D450" s="119"/>
      <c r="E450" s="119"/>
    </row>
    <row r="451" spans="4:5" x14ac:dyDescent="0.3">
      <c r="D451" s="119"/>
      <c r="E451" s="119"/>
    </row>
    <row r="452" spans="4:5" x14ac:dyDescent="0.3">
      <c r="D452" s="119"/>
      <c r="E452" s="119"/>
    </row>
    <row r="453" spans="4:5" x14ac:dyDescent="0.3">
      <c r="D453" s="119"/>
      <c r="E453" s="119"/>
    </row>
    <row r="454" spans="4:5" x14ac:dyDescent="0.3">
      <c r="D454" s="119"/>
      <c r="E454" s="119"/>
    </row>
    <row r="455" spans="4:5" x14ac:dyDescent="0.3">
      <c r="D455" s="119"/>
      <c r="E455" s="119"/>
    </row>
    <row r="456" spans="4:5" x14ac:dyDescent="0.3">
      <c r="D456" s="119"/>
      <c r="E456" s="119"/>
    </row>
    <row r="457" spans="4:5" x14ac:dyDescent="0.3">
      <c r="D457" s="119"/>
      <c r="E457" s="119"/>
    </row>
    <row r="458" spans="4:5" x14ac:dyDescent="0.3">
      <c r="D458" s="119"/>
      <c r="E458" s="119"/>
    </row>
    <row r="459" spans="4:5" x14ac:dyDescent="0.3">
      <c r="D459" s="119"/>
      <c r="E459" s="119"/>
    </row>
    <row r="460" spans="4:5" x14ac:dyDescent="0.3">
      <c r="D460" s="119"/>
      <c r="E460" s="119"/>
    </row>
    <row r="461" spans="4:5" x14ac:dyDescent="0.3">
      <c r="D461" s="119"/>
      <c r="E461" s="119"/>
    </row>
    <row r="462" spans="4:5" x14ac:dyDescent="0.3">
      <c r="D462" s="119"/>
      <c r="E462" s="119"/>
    </row>
    <row r="463" spans="4:5" x14ac:dyDescent="0.3">
      <c r="D463" s="119"/>
      <c r="E463" s="119"/>
    </row>
    <row r="464" spans="4:5" x14ac:dyDescent="0.3">
      <c r="D464" s="119"/>
      <c r="E464" s="119"/>
    </row>
    <row r="465" spans="4:5" x14ac:dyDescent="0.3">
      <c r="D465" s="119"/>
      <c r="E465" s="119"/>
    </row>
    <row r="466" spans="4:5" x14ac:dyDescent="0.3">
      <c r="D466" s="119"/>
      <c r="E466" s="119"/>
    </row>
    <row r="467" spans="4:5" x14ac:dyDescent="0.3">
      <c r="D467" s="119"/>
      <c r="E467" s="119"/>
    </row>
    <row r="468" spans="4:5" x14ac:dyDescent="0.3">
      <c r="D468" s="119"/>
      <c r="E468" s="119"/>
    </row>
    <row r="469" spans="4:5" x14ac:dyDescent="0.3">
      <c r="D469" s="119"/>
      <c r="E469" s="119"/>
    </row>
    <row r="470" spans="4:5" x14ac:dyDescent="0.3">
      <c r="D470" s="119"/>
      <c r="E470" s="119"/>
    </row>
    <row r="471" spans="4:5" x14ac:dyDescent="0.3">
      <c r="D471" s="119"/>
      <c r="E471" s="119"/>
    </row>
    <row r="472" spans="4:5" x14ac:dyDescent="0.3">
      <c r="D472" s="119"/>
      <c r="E472" s="119"/>
    </row>
    <row r="473" spans="4:5" x14ac:dyDescent="0.3">
      <c r="D473" s="119"/>
      <c r="E473" s="119"/>
    </row>
    <row r="474" spans="4:5" x14ac:dyDescent="0.3">
      <c r="D474" s="119"/>
      <c r="E474" s="119"/>
    </row>
    <row r="475" spans="4:5" x14ac:dyDescent="0.3">
      <c r="D475" s="119"/>
      <c r="E475" s="119"/>
    </row>
    <row r="476" spans="4:5" x14ac:dyDescent="0.3">
      <c r="D476" s="119"/>
      <c r="E476" s="119"/>
    </row>
    <row r="477" spans="4:5" x14ac:dyDescent="0.3">
      <c r="D477" s="119"/>
      <c r="E477" s="119"/>
    </row>
    <row r="478" spans="4:5" x14ac:dyDescent="0.3">
      <c r="D478" s="119"/>
      <c r="E478" s="119"/>
    </row>
    <row r="479" spans="4:5" x14ac:dyDescent="0.3">
      <c r="D479" s="119"/>
      <c r="E479" s="119"/>
    </row>
    <row r="480" spans="4:5" x14ac:dyDescent="0.3">
      <c r="D480" s="119"/>
      <c r="E480" s="119"/>
    </row>
    <row r="481" spans="4:5" x14ac:dyDescent="0.3">
      <c r="D481" s="119"/>
      <c r="E481" s="119"/>
    </row>
    <row r="482" spans="4:5" x14ac:dyDescent="0.3">
      <c r="D482" s="119"/>
      <c r="E482" s="119"/>
    </row>
    <row r="483" spans="4:5" x14ac:dyDescent="0.3">
      <c r="D483" s="119"/>
      <c r="E483" s="119"/>
    </row>
    <row r="484" spans="4:5" x14ac:dyDescent="0.3">
      <c r="D484" s="119"/>
      <c r="E484" s="119"/>
    </row>
    <row r="485" spans="4:5" x14ac:dyDescent="0.3">
      <c r="D485" s="119"/>
      <c r="E485" s="119"/>
    </row>
    <row r="486" spans="4:5" x14ac:dyDescent="0.3">
      <c r="D486" s="119"/>
      <c r="E486" s="119"/>
    </row>
    <row r="487" spans="4:5" x14ac:dyDescent="0.3">
      <c r="D487" s="119"/>
      <c r="E487" s="119"/>
    </row>
    <row r="488" spans="4:5" x14ac:dyDescent="0.3">
      <c r="D488" s="119"/>
      <c r="E488" s="119"/>
    </row>
    <row r="489" spans="4:5" x14ac:dyDescent="0.3">
      <c r="D489" s="119"/>
      <c r="E489" s="119"/>
    </row>
    <row r="490" spans="4:5" x14ac:dyDescent="0.3">
      <c r="D490" s="119"/>
      <c r="E490" s="119"/>
    </row>
    <row r="491" spans="4:5" x14ac:dyDescent="0.3">
      <c r="D491" s="119"/>
      <c r="E491" s="119"/>
    </row>
    <row r="492" spans="4:5" x14ac:dyDescent="0.3">
      <c r="D492" s="119"/>
      <c r="E492" s="119"/>
    </row>
    <row r="493" spans="4:5" x14ac:dyDescent="0.3">
      <c r="D493" s="119"/>
      <c r="E493" s="119"/>
    </row>
    <row r="494" spans="4:5" x14ac:dyDescent="0.3">
      <c r="D494" s="119"/>
      <c r="E494" s="119"/>
    </row>
    <row r="495" spans="4:5" x14ac:dyDescent="0.3">
      <c r="D495" s="119"/>
      <c r="E495" s="119"/>
    </row>
    <row r="496" spans="4:5" x14ac:dyDescent="0.3">
      <c r="D496" s="119"/>
      <c r="E496" s="119"/>
    </row>
    <row r="497" spans="4:5" x14ac:dyDescent="0.3">
      <c r="D497" s="119"/>
      <c r="E497" s="119"/>
    </row>
    <row r="498" spans="4:5" x14ac:dyDescent="0.3">
      <c r="D498" s="119"/>
      <c r="E498" s="119"/>
    </row>
    <row r="499" spans="4:5" x14ac:dyDescent="0.3">
      <c r="D499" s="119"/>
      <c r="E499" s="119"/>
    </row>
    <row r="500" spans="4:5" x14ac:dyDescent="0.3">
      <c r="D500" s="119"/>
      <c r="E500" s="119"/>
    </row>
    <row r="501" spans="4:5" x14ac:dyDescent="0.3">
      <c r="D501" s="119"/>
      <c r="E501" s="119"/>
    </row>
    <row r="502" spans="4:5" x14ac:dyDescent="0.3">
      <c r="D502" s="119"/>
      <c r="E502" s="119"/>
    </row>
    <row r="503" spans="4:5" x14ac:dyDescent="0.3">
      <c r="D503" s="119"/>
      <c r="E503" s="119"/>
    </row>
    <row r="504" spans="4:5" x14ac:dyDescent="0.3">
      <c r="D504" s="119"/>
      <c r="E504" s="119"/>
    </row>
    <row r="505" spans="4:5" x14ac:dyDescent="0.3">
      <c r="D505" s="119"/>
      <c r="E505" s="119"/>
    </row>
    <row r="506" spans="4:5" x14ac:dyDescent="0.3">
      <c r="D506" s="119"/>
      <c r="E506" s="119"/>
    </row>
    <row r="507" spans="4:5" x14ac:dyDescent="0.3">
      <c r="D507" s="119"/>
      <c r="E507" s="119"/>
    </row>
    <row r="508" spans="4:5" x14ac:dyDescent="0.3">
      <c r="D508" s="119"/>
      <c r="E508" s="119"/>
    </row>
    <row r="509" spans="4:5" x14ac:dyDescent="0.3">
      <c r="D509" s="119"/>
      <c r="E509" s="119"/>
    </row>
    <row r="510" spans="4:5" x14ac:dyDescent="0.3">
      <c r="D510" s="119"/>
      <c r="E510" s="119"/>
    </row>
    <row r="511" spans="4:5" x14ac:dyDescent="0.3">
      <c r="D511" s="119"/>
      <c r="E511" s="119"/>
    </row>
    <row r="512" spans="4:5" x14ac:dyDescent="0.3">
      <c r="D512" s="119"/>
      <c r="E512" s="119"/>
    </row>
    <row r="513" spans="4:5" x14ac:dyDescent="0.3">
      <c r="D513" s="119"/>
      <c r="E513" s="119"/>
    </row>
    <row r="514" spans="4:5" x14ac:dyDescent="0.3">
      <c r="D514" s="119"/>
      <c r="E514" s="119"/>
    </row>
    <row r="515" spans="4:5" x14ac:dyDescent="0.3">
      <c r="D515" s="119"/>
      <c r="E515" s="119"/>
    </row>
    <row r="516" spans="4:5" x14ac:dyDescent="0.3">
      <c r="D516" s="119"/>
      <c r="E516" s="119"/>
    </row>
    <row r="517" spans="4:5" x14ac:dyDescent="0.3">
      <c r="D517" s="119"/>
      <c r="E517" s="119"/>
    </row>
    <row r="518" spans="4:5" x14ac:dyDescent="0.3">
      <c r="D518" s="119"/>
      <c r="E518" s="119"/>
    </row>
    <row r="519" spans="4:5" x14ac:dyDescent="0.3">
      <c r="D519" s="119"/>
      <c r="E519" s="119"/>
    </row>
    <row r="520" spans="4:5" x14ac:dyDescent="0.3">
      <c r="D520" s="119"/>
      <c r="E520" s="119"/>
    </row>
    <row r="521" spans="4:5" x14ac:dyDescent="0.3">
      <c r="D521" s="119"/>
      <c r="E521" s="119"/>
    </row>
    <row r="522" spans="4:5" x14ac:dyDescent="0.3">
      <c r="D522" s="119"/>
      <c r="E522" s="119"/>
    </row>
    <row r="523" spans="4:5" x14ac:dyDescent="0.3">
      <c r="D523" s="119"/>
      <c r="E523" s="119"/>
    </row>
    <row r="524" spans="4:5" x14ac:dyDescent="0.3">
      <c r="D524" s="119"/>
      <c r="E524" s="119"/>
    </row>
    <row r="525" spans="4:5" x14ac:dyDescent="0.3">
      <c r="D525" s="119"/>
      <c r="E525" s="119"/>
    </row>
    <row r="526" spans="4:5" x14ac:dyDescent="0.3">
      <c r="D526" s="119"/>
      <c r="E526" s="119"/>
    </row>
    <row r="527" spans="4:5" x14ac:dyDescent="0.3">
      <c r="D527" s="119"/>
      <c r="E527" s="119"/>
    </row>
    <row r="528" spans="4:5" x14ac:dyDescent="0.3">
      <c r="D528" s="119"/>
      <c r="E528" s="119"/>
    </row>
    <row r="529" spans="4:5" x14ac:dyDescent="0.3">
      <c r="D529" s="119"/>
      <c r="E529" s="119"/>
    </row>
    <row r="530" spans="4:5" x14ac:dyDescent="0.3">
      <c r="D530" s="119"/>
      <c r="E530" s="119"/>
    </row>
    <row r="531" spans="4:5" x14ac:dyDescent="0.3">
      <c r="D531" s="119"/>
      <c r="E531" s="119"/>
    </row>
    <row r="532" spans="4:5" x14ac:dyDescent="0.3">
      <c r="D532" s="119"/>
      <c r="E532" s="119"/>
    </row>
    <row r="533" spans="4:5" x14ac:dyDescent="0.3">
      <c r="D533" s="119"/>
      <c r="E533" s="119"/>
    </row>
    <row r="534" spans="4:5" x14ac:dyDescent="0.3">
      <c r="D534" s="119"/>
      <c r="E534" s="119"/>
    </row>
    <row r="535" spans="4:5" x14ac:dyDescent="0.3">
      <c r="D535" s="119"/>
      <c r="E535" s="119"/>
    </row>
    <row r="536" spans="4:5" x14ac:dyDescent="0.3">
      <c r="D536" s="119"/>
      <c r="E536" s="119"/>
    </row>
    <row r="537" spans="4:5" x14ac:dyDescent="0.3">
      <c r="D537" s="119"/>
      <c r="E537" s="119"/>
    </row>
    <row r="538" spans="4:5" x14ac:dyDescent="0.3">
      <c r="D538" s="119"/>
      <c r="E538" s="119"/>
    </row>
    <row r="539" spans="4:5" x14ac:dyDescent="0.3">
      <c r="D539" s="119"/>
      <c r="E539" s="119"/>
    </row>
    <row r="540" spans="4:5" x14ac:dyDescent="0.3">
      <c r="D540" s="119"/>
      <c r="E540" s="119"/>
    </row>
    <row r="541" spans="4:5" x14ac:dyDescent="0.3">
      <c r="D541" s="119"/>
      <c r="E541" s="119"/>
    </row>
    <row r="542" spans="4:5" x14ac:dyDescent="0.3">
      <c r="D542" s="119"/>
      <c r="E542" s="119"/>
    </row>
    <row r="543" spans="4:5" x14ac:dyDescent="0.3">
      <c r="D543" s="119"/>
      <c r="E543" s="119"/>
    </row>
    <row r="544" spans="4:5" x14ac:dyDescent="0.3">
      <c r="D544" s="119"/>
      <c r="E544" s="119"/>
    </row>
    <row r="545" spans="4:5" x14ac:dyDescent="0.3">
      <c r="D545" s="119"/>
      <c r="E545" s="119"/>
    </row>
    <row r="546" spans="4:5" x14ac:dyDescent="0.3">
      <c r="D546" s="119"/>
      <c r="E546" s="119"/>
    </row>
    <row r="547" spans="4:5" x14ac:dyDescent="0.3">
      <c r="D547" s="119"/>
      <c r="E547" s="119"/>
    </row>
    <row r="548" spans="4:5" x14ac:dyDescent="0.3">
      <c r="D548" s="119"/>
      <c r="E548" s="119"/>
    </row>
    <row r="549" spans="4:5" x14ac:dyDescent="0.3">
      <c r="D549" s="119"/>
      <c r="E549" s="119"/>
    </row>
    <row r="550" spans="4:5" x14ac:dyDescent="0.3">
      <c r="D550" s="119"/>
      <c r="E550" s="119"/>
    </row>
    <row r="551" spans="4:5" x14ac:dyDescent="0.3">
      <c r="D551" s="119"/>
      <c r="E551" s="119"/>
    </row>
    <row r="552" spans="4:5" x14ac:dyDescent="0.3">
      <c r="D552" s="119"/>
      <c r="E552" s="119"/>
    </row>
    <row r="553" spans="4:5" x14ac:dyDescent="0.3">
      <c r="D553" s="119"/>
      <c r="E553" s="119"/>
    </row>
    <row r="554" spans="4:5" x14ac:dyDescent="0.3">
      <c r="D554" s="119"/>
      <c r="E554" s="119"/>
    </row>
    <row r="555" spans="4:5" x14ac:dyDescent="0.3">
      <c r="D555" s="119"/>
      <c r="E555" s="119"/>
    </row>
    <row r="556" spans="4:5" x14ac:dyDescent="0.3">
      <c r="D556" s="119"/>
      <c r="E556" s="119"/>
    </row>
    <row r="557" spans="4:5" x14ac:dyDescent="0.3">
      <c r="D557" s="119"/>
      <c r="E557" s="119"/>
    </row>
    <row r="558" spans="4:5" x14ac:dyDescent="0.3">
      <c r="D558" s="119"/>
      <c r="E558" s="119"/>
    </row>
    <row r="559" spans="4:5" x14ac:dyDescent="0.3">
      <c r="D559" s="119"/>
      <c r="E559" s="119"/>
    </row>
    <row r="560" spans="4:5" x14ac:dyDescent="0.3">
      <c r="D560" s="119"/>
      <c r="E560" s="119"/>
    </row>
    <row r="561" spans="4:5" x14ac:dyDescent="0.3">
      <c r="D561" s="119"/>
      <c r="E561" s="119"/>
    </row>
    <row r="562" spans="4:5" x14ac:dyDescent="0.3">
      <c r="D562" s="119"/>
      <c r="E562" s="119"/>
    </row>
    <row r="563" spans="4:5" x14ac:dyDescent="0.3">
      <c r="D563" s="119"/>
      <c r="E563" s="119"/>
    </row>
    <row r="564" spans="4:5" x14ac:dyDescent="0.3">
      <c r="D564" s="119"/>
      <c r="E564" s="119"/>
    </row>
    <row r="565" spans="4:5" x14ac:dyDescent="0.3">
      <c r="D565" s="119"/>
      <c r="E565" s="119"/>
    </row>
    <row r="566" spans="4:5" x14ac:dyDescent="0.3">
      <c r="D566" s="119"/>
      <c r="E566" s="119"/>
    </row>
    <row r="567" spans="4:5" x14ac:dyDescent="0.3">
      <c r="D567" s="119"/>
      <c r="E567" s="119"/>
    </row>
    <row r="568" spans="4:5" x14ac:dyDescent="0.3">
      <c r="D568" s="119"/>
      <c r="E568" s="119"/>
    </row>
    <row r="569" spans="4:5" x14ac:dyDescent="0.3">
      <c r="D569" s="119"/>
      <c r="E569" s="119"/>
    </row>
    <row r="570" spans="4:5" x14ac:dyDescent="0.3">
      <c r="D570" s="119"/>
      <c r="E570" s="119"/>
    </row>
    <row r="571" spans="4:5" x14ac:dyDescent="0.3">
      <c r="D571" s="119"/>
      <c r="E571" s="119"/>
    </row>
    <row r="572" spans="4:5" x14ac:dyDescent="0.3">
      <c r="D572" s="119"/>
      <c r="E572" s="119"/>
    </row>
    <row r="573" spans="4:5" x14ac:dyDescent="0.3">
      <c r="D573" s="119"/>
      <c r="E573" s="119"/>
    </row>
    <row r="574" spans="4:5" x14ac:dyDescent="0.3">
      <c r="D574" s="119"/>
      <c r="E574" s="119"/>
    </row>
    <row r="575" spans="4:5" x14ac:dyDescent="0.3">
      <c r="D575" s="119"/>
      <c r="E575" s="119"/>
    </row>
    <row r="576" spans="4:5" x14ac:dyDescent="0.3">
      <c r="D576" s="119"/>
      <c r="E576" s="119"/>
    </row>
    <row r="577" spans="4:5" x14ac:dyDescent="0.3">
      <c r="D577" s="119"/>
      <c r="E577" s="119"/>
    </row>
    <row r="578" spans="4:5" x14ac:dyDescent="0.3">
      <c r="D578" s="119"/>
      <c r="E578" s="119"/>
    </row>
    <row r="579" spans="4:5" x14ac:dyDescent="0.3">
      <c r="D579" s="119"/>
      <c r="E579" s="119"/>
    </row>
    <row r="580" spans="4:5" x14ac:dyDescent="0.3">
      <c r="D580" s="119"/>
      <c r="E580" s="119"/>
    </row>
    <row r="581" spans="4:5" x14ac:dyDescent="0.3">
      <c r="D581" s="119"/>
      <c r="E581" s="119"/>
    </row>
    <row r="582" spans="4:5" x14ac:dyDescent="0.3">
      <c r="D582" s="119"/>
      <c r="E582" s="119"/>
    </row>
    <row r="583" spans="4:5" x14ac:dyDescent="0.3">
      <c r="D583" s="119"/>
      <c r="E583" s="119"/>
    </row>
    <row r="584" spans="4:5" x14ac:dyDescent="0.3">
      <c r="D584" s="119"/>
      <c r="E584" s="119"/>
    </row>
    <row r="585" spans="4:5" x14ac:dyDescent="0.3">
      <c r="D585" s="119"/>
      <c r="E585" s="119"/>
    </row>
    <row r="586" spans="4:5" x14ac:dyDescent="0.3">
      <c r="D586" s="119"/>
      <c r="E586" s="119"/>
    </row>
    <row r="587" spans="4:5" x14ac:dyDescent="0.3">
      <c r="D587" s="119"/>
      <c r="E587" s="119"/>
    </row>
    <row r="588" spans="4:5" x14ac:dyDescent="0.3">
      <c r="D588" s="119"/>
      <c r="E588" s="119"/>
    </row>
    <row r="589" spans="4:5" x14ac:dyDescent="0.3">
      <c r="D589" s="119"/>
      <c r="E589" s="119"/>
    </row>
    <row r="590" spans="4:5" x14ac:dyDescent="0.3">
      <c r="D590" s="119"/>
      <c r="E590" s="119"/>
    </row>
    <row r="591" spans="4:5" x14ac:dyDescent="0.3">
      <c r="D591" s="119"/>
      <c r="E591" s="119"/>
    </row>
    <row r="592" spans="4:5" x14ac:dyDescent="0.3">
      <c r="D592" s="119"/>
      <c r="E592" s="119"/>
    </row>
    <row r="593" spans="4:5" x14ac:dyDescent="0.3">
      <c r="D593" s="119"/>
      <c r="E593" s="119"/>
    </row>
    <row r="594" spans="4:5" x14ac:dyDescent="0.3">
      <c r="D594" s="119"/>
      <c r="E594" s="119"/>
    </row>
    <row r="595" spans="4:5" x14ac:dyDescent="0.3">
      <c r="D595" s="119"/>
      <c r="E595" s="119"/>
    </row>
    <row r="596" spans="4:5" x14ac:dyDescent="0.3">
      <c r="D596" s="119"/>
      <c r="E596" s="119"/>
    </row>
    <row r="597" spans="4:5" x14ac:dyDescent="0.3">
      <c r="D597" s="119"/>
      <c r="E597" s="119"/>
    </row>
    <row r="598" spans="4:5" x14ac:dyDescent="0.3">
      <c r="D598" s="119"/>
      <c r="E598" s="119"/>
    </row>
    <row r="599" spans="4:5" x14ac:dyDescent="0.3">
      <c r="D599" s="119"/>
      <c r="E599" s="119"/>
    </row>
    <row r="600" spans="4:5" x14ac:dyDescent="0.3">
      <c r="D600" s="119"/>
      <c r="E600" s="119"/>
    </row>
    <row r="601" spans="4:5" x14ac:dyDescent="0.3">
      <c r="D601" s="119"/>
      <c r="E601" s="119"/>
    </row>
    <row r="602" spans="4:5" x14ac:dyDescent="0.3">
      <c r="D602" s="119"/>
      <c r="E602" s="119"/>
    </row>
    <row r="603" spans="4:5" x14ac:dyDescent="0.3">
      <c r="D603" s="119"/>
      <c r="E603" s="119"/>
    </row>
    <row r="604" spans="4:5" x14ac:dyDescent="0.3">
      <c r="D604" s="119"/>
      <c r="E604" s="119"/>
    </row>
    <row r="605" spans="4:5" x14ac:dyDescent="0.3">
      <c r="D605" s="119"/>
      <c r="E605" s="119"/>
    </row>
    <row r="606" spans="4:5" x14ac:dyDescent="0.3">
      <c r="D606" s="119"/>
      <c r="E606" s="119"/>
    </row>
    <row r="607" spans="4:5" x14ac:dyDescent="0.3">
      <c r="D607" s="119"/>
      <c r="E607" s="119"/>
    </row>
    <row r="608" spans="4:5" x14ac:dyDescent="0.3">
      <c r="D608" s="119"/>
      <c r="E608" s="119"/>
    </row>
    <row r="609" spans="4:5" x14ac:dyDescent="0.3">
      <c r="D609" s="119"/>
      <c r="E609" s="119"/>
    </row>
    <row r="610" spans="4:5" x14ac:dyDescent="0.3">
      <c r="D610" s="119"/>
      <c r="E610" s="119"/>
    </row>
    <row r="611" spans="4:5" x14ac:dyDescent="0.3">
      <c r="D611" s="119"/>
      <c r="E611" s="119"/>
    </row>
    <row r="612" spans="4:5" x14ac:dyDescent="0.3">
      <c r="D612" s="119"/>
      <c r="E612" s="119"/>
    </row>
    <row r="613" spans="4:5" x14ac:dyDescent="0.3">
      <c r="D613" s="119"/>
      <c r="E613" s="119"/>
    </row>
    <row r="614" spans="4:5" x14ac:dyDescent="0.3">
      <c r="D614" s="119"/>
      <c r="E614" s="119"/>
    </row>
    <row r="615" spans="4:5" x14ac:dyDescent="0.3">
      <c r="D615" s="119"/>
      <c r="E615" s="119"/>
    </row>
    <row r="616" spans="4:5" x14ac:dyDescent="0.3">
      <c r="D616" s="119"/>
      <c r="E616" s="119"/>
    </row>
    <row r="617" spans="4:5" x14ac:dyDescent="0.3">
      <c r="D617" s="119"/>
      <c r="E617" s="119"/>
    </row>
    <row r="618" spans="4:5" x14ac:dyDescent="0.3">
      <c r="D618" s="119"/>
      <c r="E618" s="119"/>
    </row>
    <row r="619" spans="4:5" x14ac:dyDescent="0.3">
      <c r="D619" s="119"/>
      <c r="E619" s="119"/>
    </row>
    <row r="620" spans="4:5" x14ac:dyDescent="0.3">
      <c r="D620" s="119"/>
      <c r="E620" s="119"/>
    </row>
    <row r="621" spans="4:5" x14ac:dyDescent="0.3">
      <c r="D621" s="119"/>
      <c r="E621" s="119"/>
    </row>
    <row r="622" spans="4:5" x14ac:dyDescent="0.3">
      <c r="D622" s="119"/>
      <c r="E622" s="119"/>
    </row>
    <row r="623" spans="4:5" x14ac:dyDescent="0.3">
      <c r="D623" s="119"/>
      <c r="E623" s="119"/>
    </row>
    <row r="624" spans="4:5" x14ac:dyDescent="0.3">
      <c r="D624" s="119"/>
      <c r="E624" s="119"/>
    </row>
    <row r="625" spans="4:5" x14ac:dyDescent="0.3">
      <c r="D625" s="119"/>
      <c r="E625" s="119"/>
    </row>
    <row r="626" spans="4:5" x14ac:dyDescent="0.3">
      <c r="D626" s="119"/>
      <c r="E626" s="119"/>
    </row>
    <row r="627" spans="4:5" x14ac:dyDescent="0.3">
      <c r="D627" s="119"/>
      <c r="E627" s="119"/>
    </row>
    <row r="628" spans="4:5" x14ac:dyDescent="0.3">
      <c r="D628" s="119"/>
      <c r="E628" s="119"/>
    </row>
    <row r="629" spans="4:5" x14ac:dyDescent="0.3">
      <c r="D629" s="119"/>
      <c r="E629" s="119"/>
    </row>
    <row r="630" spans="4:5" x14ac:dyDescent="0.3">
      <c r="D630" s="119"/>
      <c r="E630" s="119"/>
    </row>
    <row r="631" spans="4:5" x14ac:dyDescent="0.3">
      <c r="D631" s="119"/>
      <c r="E631" s="119"/>
    </row>
    <row r="632" spans="4:5" x14ac:dyDescent="0.3">
      <c r="D632" s="119"/>
      <c r="E632" s="119"/>
    </row>
    <row r="633" spans="4:5" x14ac:dyDescent="0.3">
      <c r="D633" s="119"/>
      <c r="E633" s="119"/>
    </row>
    <row r="634" spans="4:5" x14ac:dyDescent="0.3">
      <c r="D634" s="119"/>
      <c r="E634" s="119"/>
    </row>
    <row r="635" spans="4:5" x14ac:dyDescent="0.3">
      <c r="D635" s="119"/>
      <c r="E635" s="119"/>
    </row>
    <row r="636" spans="4:5" x14ac:dyDescent="0.3">
      <c r="D636" s="119"/>
      <c r="E636" s="119"/>
    </row>
    <row r="637" spans="4:5" x14ac:dyDescent="0.3">
      <c r="D637" s="119"/>
      <c r="E637" s="119"/>
    </row>
    <row r="638" spans="4:5" x14ac:dyDescent="0.3">
      <c r="D638" s="119"/>
      <c r="E638" s="119"/>
    </row>
    <row r="639" spans="4:5" x14ac:dyDescent="0.3">
      <c r="D639" s="119"/>
      <c r="E639" s="119"/>
    </row>
    <row r="640" spans="4:5" x14ac:dyDescent="0.3">
      <c r="D640" s="119"/>
      <c r="E640" s="119"/>
    </row>
    <row r="641" spans="4:5" x14ac:dyDescent="0.3">
      <c r="D641" s="119"/>
      <c r="E641" s="119"/>
    </row>
    <row r="642" spans="4:5" x14ac:dyDescent="0.3">
      <c r="D642" s="119"/>
      <c r="E642" s="119"/>
    </row>
    <row r="643" spans="4:5" x14ac:dyDescent="0.3">
      <c r="D643" s="119"/>
      <c r="E643" s="119"/>
    </row>
    <row r="644" spans="4:5" x14ac:dyDescent="0.3">
      <c r="D644" s="119"/>
      <c r="E644" s="119"/>
    </row>
    <row r="645" spans="4:5" x14ac:dyDescent="0.3">
      <c r="D645" s="119"/>
      <c r="E645" s="119"/>
    </row>
    <row r="646" spans="4:5" x14ac:dyDescent="0.3">
      <c r="D646" s="119"/>
      <c r="E646" s="119"/>
    </row>
    <row r="647" spans="4:5" x14ac:dyDescent="0.3">
      <c r="D647" s="119"/>
      <c r="E647" s="119"/>
    </row>
    <row r="648" spans="4:5" x14ac:dyDescent="0.3">
      <c r="D648" s="119"/>
      <c r="E648" s="119"/>
    </row>
    <row r="649" spans="4:5" x14ac:dyDescent="0.3">
      <c r="D649" s="119"/>
      <c r="E649" s="119"/>
    </row>
    <row r="650" spans="4:5" x14ac:dyDescent="0.3">
      <c r="D650" s="119"/>
      <c r="E650" s="119"/>
    </row>
    <row r="651" spans="4:5" x14ac:dyDescent="0.3">
      <c r="D651" s="119"/>
      <c r="E651" s="119"/>
    </row>
    <row r="652" spans="4:5" x14ac:dyDescent="0.3">
      <c r="D652" s="119"/>
      <c r="E652" s="119"/>
    </row>
    <row r="653" spans="4:5" x14ac:dyDescent="0.3">
      <c r="D653" s="119"/>
      <c r="E653" s="119"/>
    </row>
    <row r="654" spans="4:5" x14ac:dyDescent="0.3">
      <c r="D654" s="119"/>
      <c r="E654" s="119"/>
    </row>
    <row r="655" spans="4:5" x14ac:dyDescent="0.3">
      <c r="D655" s="119"/>
      <c r="E655" s="119"/>
    </row>
    <row r="656" spans="4:5" x14ac:dyDescent="0.3">
      <c r="D656" s="119"/>
      <c r="E656" s="119"/>
    </row>
    <row r="657" spans="4:5" x14ac:dyDescent="0.3">
      <c r="D657" s="119"/>
      <c r="E657" s="119"/>
    </row>
    <row r="658" spans="4:5" x14ac:dyDescent="0.3">
      <c r="D658" s="119"/>
      <c r="E658" s="119"/>
    </row>
    <row r="659" spans="4:5" x14ac:dyDescent="0.3">
      <c r="D659" s="119"/>
      <c r="E659" s="119"/>
    </row>
    <row r="660" spans="4:5" x14ac:dyDescent="0.3">
      <c r="D660" s="119"/>
      <c r="E660" s="119"/>
    </row>
    <row r="661" spans="4:5" x14ac:dyDescent="0.3">
      <c r="D661" s="119"/>
      <c r="E661" s="119"/>
    </row>
    <row r="662" spans="4:5" x14ac:dyDescent="0.3">
      <c r="D662" s="119"/>
      <c r="E662" s="119"/>
    </row>
    <row r="663" spans="4:5" x14ac:dyDescent="0.3">
      <c r="D663" s="119"/>
      <c r="E663" s="119"/>
    </row>
    <row r="664" spans="4:5" x14ac:dyDescent="0.3">
      <c r="D664" s="119"/>
      <c r="E664" s="119"/>
    </row>
    <row r="665" spans="4:5" x14ac:dyDescent="0.3">
      <c r="D665" s="119"/>
      <c r="E665" s="119"/>
    </row>
    <row r="666" spans="4:5" x14ac:dyDescent="0.3">
      <c r="D666" s="119"/>
      <c r="E666" s="119"/>
    </row>
    <row r="667" spans="4:5" x14ac:dyDescent="0.3">
      <c r="D667" s="119"/>
      <c r="E667" s="119"/>
    </row>
    <row r="668" spans="4:5" x14ac:dyDescent="0.3">
      <c r="D668" s="119"/>
      <c r="E668" s="119"/>
    </row>
    <row r="669" spans="4:5" x14ac:dyDescent="0.3">
      <c r="D669" s="119"/>
      <c r="E669" s="119"/>
    </row>
    <row r="670" spans="4:5" x14ac:dyDescent="0.3">
      <c r="D670" s="119"/>
      <c r="E670" s="119"/>
    </row>
    <row r="671" spans="4:5" x14ac:dyDescent="0.3">
      <c r="D671" s="119"/>
      <c r="E671" s="119"/>
    </row>
    <row r="672" spans="4:5" x14ac:dyDescent="0.3">
      <c r="D672" s="119"/>
      <c r="E672" s="119"/>
    </row>
    <row r="673" spans="4:5" x14ac:dyDescent="0.3">
      <c r="D673" s="119"/>
      <c r="E673" s="119"/>
    </row>
    <row r="674" spans="4:5" x14ac:dyDescent="0.3">
      <c r="D674" s="119"/>
      <c r="E674" s="119"/>
    </row>
    <row r="675" spans="4:5" x14ac:dyDescent="0.3">
      <c r="D675" s="119"/>
      <c r="E675" s="119"/>
    </row>
    <row r="676" spans="4:5" x14ac:dyDescent="0.3">
      <c r="D676" s="119"/>
      <c r="E676" s="119"/>
    </row>
    <row r="677" spans="4:5" x14ac:dyDescent="0.3">
      <c r="D677" s="119"/>
      <c r="E677" s="119"/>
    </row>
    <row r="678" spans="4:5" x14ac:dyDescent="0.3">
      <c r="D678" s="119"/>
      <c r="E678" s="119"/>
    </row>
    <row r="679" spans="4:5" x14ac:dyDescent="0.3">
      <c r="D679" s="119"/>
      <c r="E679" s="119"/>
    </row>
    <row r="680" spans="4:5" x14ac:dyDescent="0.3">
      <c r="D680" s="119"/>
      <c r="E680" s="119"/>
    </row>
    <row r="681" spans="4:5" x14ac:dyDescent="0.3">
      <c r="D681" s="119"/>
      <c r="E681" s="119"/>
    </row>
    <row r="682" spans="4:5" x14ac:dyDescent="0.3">
      <c r="D682" s="119"/>
      <c r="E682" s="119"/>
    </row>
    <row r="683" spans="4:5" x14ac:dyDescent="0.3">
      <c r="D683" s="119"/>
      <c r="E683" s="119"/>
    </row>
    <row r="684" spans="4:5" x14ac:dyDescent="0.3">
      <c r="D684" s="119"/>
      <c r="E684" s="119"/>
    </row>
    <row r="685" spans="4:5" x14ac:dyDescent="0.3">
      <c r="D685" s="119"/>
      <c r="E685" s="119"/>
    </row>
    <row r="686" spans="4:5" x14ac:dyDescent="0.3">
      <c r="D686" s="119"/>
      <c r="E686" s="119"/>
    </row>
    <row r="687" spans="4:5" x14ac:dyDescent="0.3">
      <c r="D687" s="119"/>
      <c r="E687" s="119"/>
    </row>
    <row r="688" spans="4:5" x14ac:dyDescent="0.3">
      <c r="D688" s="119"/>
      <c r="E688" s="119"/>
    </row>
    <row r="689" spans="4:5" x14ac:dyDescent="0.3">
      <c r="D689" s="119"/>
      <c r="E689" s="119"/>
    </row>
    <row r="690" spans="4:5" x14ac:dyDescent="0.3">
      <c r="D690" s="119"/>
      <c r="E690" s="119"/>
    </row>
    <row r="691" spans="4:5" x14ac:dyDescent="0.3">
      <c r="D691" s="119"/>
      <c r="E691" s="119"/>
    </row>
    <row r="692" spans="4:5" x14ac:dyDescent="0.3">
      <c r="D692" s="119"/>
      <c r="E692" s="119"/>
    </row>
    <row r="693" spans="4:5" x14ac:dyDescent="0.3">
      <c r="D693" s="119"/>
      <c r="E693" s="119"/>
    </row>
    <row r="694" spans="4:5" x14ac:dyDescent="0.3">
      <c r="D694" s="119"/>
      <c r="E694" s="119"/>
    </row>
    <row r="695" spans="4:5" x14ac:dyDescent="0.3">
      <c r="D695" s="119"/>
      <c r="E695" s="119"/>
    </row>
    <row r="696" spans="4:5" x14ac:dyDescent="0.3">
      <c r="D696" s="119"/>
      <c r="E696" s="119"/>
    </row>
    <row r="697" spans="4:5" x14ac:dyDescent="0.3">
      <c r="D697" s="119"/>
      <c r="E697" s="119"/>
    </row>
    <row r="698" spans="4:5" x14ac:dyDescent="0.3">
      <c r="D698" s="119"/>
      <c r="E698" s="119"/>
    </row>
    <row r="699" spans="4:5" x14ac:dyDescent="0.3">
      <c r="D699" s="119"/>
      <c r="E699" s="119"/>
    </row>
    <row r="700" spans="4:5" x14ac:dyDescent="0.3">
      <c r="D700" s="119"/>
      <c r="E700" s="119"/>
    </row>
    <row r="701" spans="4:5" x14ac:dyDescent="0.3">
      <c r="D701" s="119"/>
      <c r="E701" s="119"/>
    </row>
    <row r="702" spans="4:5" x14ac:dyDescent="0.3">
      <c r="D702" s="119"/>
      <c r="E702" s="119"/>
    </row>
    <row r="703" spans="4:5" x14ac:dyDescent="0.3">
      <c r="D703" s="119"/>
      <c r="E703" s="119"/>
    </row>
    <row r="704" spans="4:5" x14ac:dyDescent="0.3">
      <c r="D704" s="119"/>
      <c r="E704" s="119"/>
    </row>
    <row r="705" spans="4:5" x14ac:dyDescent="0.3">
      <c r="D705" s="119"/>
      <c r="E705" s="119"/>
    </row>
    <row r="706" spans="4:5" x14ac:dyDescent="0.3">
      <c r="D706" s="119"/>
      <c r="E706" s="119"/>
    </row>
    <row r="707" spans="4:5" x14ac:dyDescent="0.3">
      <c r="D707" s="119"/>
      <c r="E707" s="119"/>
    </row>
    <row r="708" spans="4:5" x14ac:dyDescent="0.3">
      <c r="D708" s="119"/>
      <c r="E708" s="119"/>
    </row>
    <row r="709" spans="4:5" x14ac:dyDescent="0.3">
      <c r="D709" s="119"/>
      <c r="E709" s="119"/>
    </row>
    <row r="710" spans="4:5" x14ac:dyDescent="0.3">
      <c r="D710" s="119"/>
      <c r="E710" s="119"/>
    </row>
    <row r="711" spans="4:5" x14ac:dyDescent="0.3">
      <c r="D711" s="119"/>
      <c r="E711" s="119"/>
    </row>
    <row r="712" spans="4:5" x14ac:dyDescent="0.3">
      <c r="D712" s="119"/>
      <c r="E712" s="119"/>
    </row>
    <row r="713" spans="4:5" x14ac:dyDescent="0.3">
      <c r="D713" s="119"/>
      <c r="E713" s="119"/>
    </row>
    <row r="714" spans="4:5" x14ac:dyDescent="0.3">
      <c r="D714" s="119"/>
      <c r="E714" s="119"/>
    </row>
    <row r="715" spans="4:5" x14ac:dyDescent="0.3">
      <c r="D715" s="119"/>
      <c r="E715" s="119"/>
    </row>
    <row r="716" spans="4:5" x14ac:dyDescent="0.3">
      <c r="D716" s="119"/>
      <c r="E716" s="119"/>
    </row>
    <row r="717" spans="4:5" x14ac:dyDescent="0.3">
      <c r="D717" s="119"/>
      <c r="E717" s="119"/>
    </row>
    <row r="718" spans="4:5" x14ac:dyDescent="0.3">
      <c r="D718" s="119"/>
      <c r="E718" s="119"/>
    </row>
    <row r="719" spans="4:5" x14ac:dyDescent="0.3">
      <c r="D719" s="119"/>
      <c r="E719" s="119"/>
    </row>
    <row r="720" spans="4:5" x14ac:dyDescent="0.3">
      <c r="D720" s="119"/>
      <c r="E720" s="119"/>
    </row>
    <row r="721" spans="4:5" x14ac:dyDescent="0.3">
      <c r="D721" s="119"/>
      <c r="E721" s="119"/>
    </row>
    <row r="722" spans="4:5" x14ac:dyDescent="0.3">
      <c r="D722" s="119"/>
      <c r="E722" s="119"/>
    </row>
    <row r="723" spans="4:5" x14ac:dyDescent="0.3">
      <c r="D723" s="119"/>
      <c r="E723" s="119"/>
    </row>
    <row r="724" spans="4:5" x14ac:dyDescent="0.3">
      <c r="D724" s="119"/>
      <c r="E724" s="119"/>
    </row>
    <row r="725" spans="4:5" x14ac:dyDescent="0.3">
      <c r="D725" s="119"/>
      <c r="E725" s="119"/>
    </row>
    <row r="726" spans="4:5" x14ac:dyDescent="0.3">
      <c r="D726" s="119"/>
      <c r="E726" s="119"/>
    </row>
    <row r="727" spans="4:5" x14ac:dyDescent="0.3">
      <c r="D727" s="119"/>
      <c r="E727" s="119"/>
    </row>
    <row r="728" spans="4:5" x14ac:dyDescent="0.3">
      <c r="D728" s="119"/>
      <c r="E728" s="119"/>
    </row>
    <row r="729" spans="4:5" x14ac:dyDescent="0.3">
      <c r="D729" s="119"/>
      <c r="E729" s="119"/>
    </row>
    <row r="730" spans="4:5" x14ac:dyDescent="0.3">
      <c r="D730" s="119"/>
      <c r="E730" s="119"/>
    </row>
    <row r="731" spans="4:5" x14ac:dyDescent="0.3">
      <c r="D731" s="119"/>
      <c r="E731" s="119"/>
    </row>
    <row r="732" spans="4:5" x14ac:dyDescent="0.3">
      <c r="D732" s="119"/>
      <c r="E732" s="119"/>
    </row>
    <row r="733" spans="4:5" x14ac:dyDescent="0.3">
      <c r="D733" s="119"/>
      <c r="E733" s="119"/>
    </row>
    <row r="734" spans="4:5" x14ac:dyDescent="0.3">
      <c r="D734" s="119"/>
      <c r="E734" s="119"/>
    </row>
    <row r="735" spans="4:5" x14ac:dyDescent="0.3">
      <c r="D735" s="119"/>
      <c r="E735" s="119"/>
    </row>
    <row r="736" spans="4:5" x14ac:dyDescent="0.3">
      <c r="D736" s="119"/>
      <c r="E736" s="119"/>
    </row>
    <row r="737" spans="4:5" x14ac:dyDescent="0.3">
      <c r="D737" s="119"/>
      <c r="E737" s="119"/>
    </row>
    <row r="738" spans="4:5" x14ac:dyDescent="0.3">
      <c r="D738" s="119"/>
      <c r="E738" s="119"/>
    </row>
    <row r="739" spans="4:5" x14ac:dyDescent="0.3">
      <c r="D739" s="119"/>
      <c r="E739" s="119"/>
    </row>
    <row r="740" spans="4:5" x14ac:dyDescent="0.3">
      <c r="D740" s="119"/>
      <c r="E740" s="119"/>
    </row>
    <row r="741" spans="4:5" x14ac:dyDescent="0.3">
      <c r="D741" s="119"/>
      <c r="E741" s="119"/>
    </row>
    <row r="742" spans="4:5" x14ac:dyDescent="0.3">
      <c r="D742" s="119"/>
      <c r="E742" s="119"/>
    </row>
    <row r="743" spans="4:5" x14ac:dyDescent="0.3">
      <c r="D743" s="119"/>
      <c r="E743" s="119"/>
    </row>
    <row r="744" spans="4:5" x14ac:dyDescent="0.3">
      <c r="D744" s="119"/>
      <c r="E744" s="119"/>
    </row>
    <row r="745" spans="4:5" x14ac:dyDescent="0.3">
      <c r="D745" s="119"/>
      <c r="E745" s="119"/>
    </row>
    <row r="746" spans="4:5" x14ac:dyDescent="0.3">
      <c r="D746" s="119"/>
      <c r="E746" s="119"/>
    </row>
    <row r="747" spans="4:5" x14ac:dyDescent="0.3">
      <c r="D747" s="119"/>
      <c r="E747" s="119"/>
    </row>
    <row r="748" spans="4:5" x14ac:dyDescent="0.3">
      <c r="D748" s="119"/>
      <c r="E748" s="119"/>
    </row>
    <row r="749" spans="4:5" x14ac:dyDescent="0.3">
      <c r="D749" s="119"/>
      <c r="E749" s="119"/>
    </row>
    <row r="750" spans="4:5" x14ac:dyDescent="0.3">
      <c r="D750" s="119"/>
      <c r="E750" s="119"/>
    </row>
    <row r="751" spans="4:5" x14ac:dyDescent="0.3">
      <c r="D751" s="119"/>
      <c r="E751" s="119"/>
    </row>
    <row r="752" spans="4:5" x14ac:dyDescent="0.3">
      <c r="D752" s="119"/>
      <c r="E752" s="119"/>
    </row>
    <row r="753" spans="4:5" x14ac:dyDescent="0.3">
      <c r="D753" s="119"/>
      <c r="E753" s="119"/>
    </row>
    <row r="754" spans="4:5" x14ac:dyDescent="0.3">
      <c r="D754" s="119"/>
      <c r="E754" s="119"/>
    </row>
    <row r="755" spans="4:5" x14ac:dyDescent="0.3">
      <c r="D755" s="119"/>
      <c r="E755" s="119"/>
    </row>
    <row r="756" spans="4:5" x14ac:dyDescent="0.3">
      <c r="D756" s="119"/>
      <c r="E756" s="119"/>
    </row>
    <row r="757" spans="4:5" x14ac:dyDescent="0.3">
      <c r="D757" s="119"/>
      <c r="E757" s="119"/>
    </row>
    <row r="758" spans="4:5" x14ac:dyDescent="0.3">
      <c r="D758" s="119"/>
      <c r="E758" s="119"/>
    </row>
    <row r="759" spans="4:5" x14ac:dyDescent="0.3">
      <c r="D759" s="119"/>
      <c r="E759" s="119"/>
    </row>
    <row r="760" spans="4:5" x14ac:dyDescent="0.3">
      <c r="D760" s="119"/>
      <c r="E760" s="119"/>
    </row>
    <row r="761" spans="4:5" x14ac:dyDescent="0.3">
      <c r="D761" s="119"/>
      <c r="E761" s="119"/>
    </row>
    <row r="762" spans="4:5" x14ac:dyDescent="0.3">
      <c r="D762" s="119"/>
      <c r="E762" s="119"/>
    </row>
    <row r="763" spans="4:5" x14ac:dyDescent="0.3">
      <c r="D763" s="119"/>
      <c r="E763" s="119"/>
    </row>
    <row r="764" spans="4:5" x14ac:dyDescent="0.3">
      <c r="D764" s="119"/>
      <c r="E764" s="119"/>
    </row>
    <row r="765" spans="4:5" x14ac:dyDescent="0.3">
      <c r="D765" s="119"/>
      <c r="E765" s="119"/>
    </row>
    <row r="766" spans="4:5" x14ac:dyDescent="0.3">
      <c r="D766" s="119"/>
      <c r="E766" s="119"/>
    </row>
    <row r="767" spans="4:5" x14ac:dyDescent="0.3">
      <c r="D767" s="119"/>
      <c r="E767" s="119"/>
    </row>
    <row r="768" spans="4:5" x14ac:dyDescent="0.3">
      <c r="D768" s="119"/>
      <c r="E768" s="119"/>
    </row>
    <row r="769" spans="4:5" x14ac:dyDescent="0.3">
      <c r="D769" s="119"/>
      <c r="E769" s="119"/>
    </row>
    <row r="770" spans="4:5" x14ac:dyDescent="0.3">
      <c r="D770" s="119"/>
      <c r="E770" s="119"/>
    </row>
    <row r="771" spans="4:5" x14ac:dyDescent="0.3">
      <c r="D771" s="119"/>
      <c r="E771" s="119"/>
    </row>
    <row r="772" spans="4:5" x14ac:dyDescent="0.3">
      <c r="D772" s="119"/>
      <c r="E772" s="119"/>
    </row>
    <row r="773" spans="4:5" x14ac:dyDescent="0.3">
      <c r="D773" s="119"/>
      <c r="E773" s="119"/>
    </row>
    <row r="774" spans="4:5" x14ac:dyDescent="0.3">
      <c r="D774" s="119"/>
      <c r="E774" s="119"/>
    </row>
    <row r="775" spans="4:5" x14ac:dyDescent="0.3">
      <c r="D775" s="119"/>
      <c r="E775" s="119"/>
    </row>
    <row r="776" spans="4:5" x14ac:dyDescent="0.3">
      <c r="D776" s="119"/>
      <c r="E776" s="119"/>
    </row>
    <row r="777" spans="4:5" x14ac:dyDescent="0.3">
      <c r="D777" s="119"/>
      <c r="E777" s="119"/>
    </row>
    <row r="778" spans="4:5" x14ac:dyDescent="0.3">
      <c r="D778" s="119"/>
      <c r="E778" s="119"/>
    </row>
    <row r="779" spans="4:5" x14ac:dyDescent="0.3">
      <c r="D779" s="119"/>
      <c r="E779" s="119"/>
    </row>
    <row r="780" spans="4:5" x14ac:dyDescent="0.3">
      <c r="D780" s="119"/>
      <c r="E780" s="119"/>
    </row>
    <row r="781" spans="4:5" x14ac:dyDescent="0.3">
      <c r="D781" s="119"/>
      <c r="E781" s="119"/>
    </row>
    <row r="782" spans="4:5" x14ac:dyDescent="0.3">
      <c r="D782" s="119"/>
      <c r="E782" s="119"/>
    </row>
    <row r="783" spans="4:5" x14ac:dyDescent="0.3">
      <c r="D783" s="119"/>
      <c r="E783" s="119"/>
    </row>
    <row r="784" spans="4:5" x14ac:dyDescent="0.3">
      <c r="D784" s="119"/>
      <c r="E784" s="119"/>
    </row>
    <row r="785" spans="4:5" x14ac:dyDescent="0.3">
      <c r="D785" s="119"/>
      <c r="E785" s="119"/>
    </row>
    <row r="786" spans="4:5" x14ac:dyDescent="0.3">
      <c r="D786" s="119"/>
      <c r="E786" s="119"/>
    </row>
    <row r="787" spans="4:5" x14ac:dyDescent="0.3">
      <c r="D787" s="119"/>
      <c r="E787" s="119"/>
    </row>
    <row r="788" spans="4:5" x14ac:dyDescent="0.3">
      <c r="D788" s="119"/>
      <c r="E788" s="119"/>
    </row>
    <row r="789" spans="4:5" x14ac:dyDescent="0.3">
      <c r="D789" s="119"/>
      <c r="E789" s="119"/>
    </row>
    <row r="790" spans="4:5" x14ac:dyDescent="0.3">
      <c r="D790" s="119"/>
      <c r="E790" s="119"/>
    </row>
    <row r="791" spans="4:5" x14ac:dyDescent="0.3">
      <c r="D791" s="119"/>
      <c r="E791" s="119"/>
    </row>
    <row r="792" spans="4:5" x14ac:dyDescent="0.3">
      <c r="D792" s="119"/>
      <c r="E792" s="119"/>
    </row>
    <row r="793" spans="4:5" x14ac:dyDescent="0.3">
      <c r="D793" s="119"/>
      <c r="E793" s="119"/>
    </row>
    <row r="794" spans="4:5" x14ac:dyDescent="0.3">
      <c r="D794" s="119"/>
      <c r="E794" s="119"/>
    </row>
    <row r="795" spans="4:5" x14ac:dyDescent="0.3">
      <c r="D795" s="119"/>
      <c r="E795" s="119"/>
    </row>
    <row r="796" spans="4:5" x14ac:dyDescent="0.3">
      <c r="D796" s="119"/>
      <c r="E796" s="119"/>
    </row>
    <row r="797" spans="4:5" x14ac:dyDescent="0.3">
      <c r="D797" s="119"/>
      <c r="E797" s="119"/>
    </row>
    <row r="798" spans="4:5" x14ac:dyDescent="0.3">
      <c r="D798" s="119"/>
      <c r="E798" s="119"/>
    </row>
    <row r="799" spans="4:5" x14ac:dyDescent="0.3">
      <c r="D799" s="119"/>
      <c r="E799" s="119"/>
    </row>
    <row r="800" spans="4:5" x14ac:dyDescent="0.3">
      <c r="D800" s="119"/>
      <c r="E800" s="119"/>
    </row>
    <row r="801" spans="4:5" x14ac:dyDescent="0.3">
      <c r="D801" s="119"/>
      <c r="E801" s="119"/>
    </row>
    <row r="802" spans="4:5" x14ac:dyDescent="0.3">
      <c r="D802" s="119"/>
      <c r="E802" s="119"/>
    </row>
    <row r="803" spans="4:5" x14ac:dyDescent="0.3">
      <c r="D803" s="119"/>
      <c r="E803" s="119"/>
    </row>
    <row r="804" spans="4:5" x14ac:dyDescent="0.3">
      <c r="D804" s="119"/>
      <c r="E804" s="119"/>
    </row>
    <row r="805" spans="4:5" x14ac:dyDescent="0.3">
      <c r="D805" s="119"/>
      <c r="E805" s="119"/>
    </row>
    <row r="806" spans="4:5" x14ac:dyDescent="0.3">
      <c r="D806" s="119"/>
      <c r="E806" s="119"/>
    </row>
    <row r="807" spans="4:5" x14ac:dyDescent="0.3">
      <c r="D807" s="119"/>
      <c r="E807" s="119"/>
    </row>
    <row r="808" spans="4:5" x14ac:dyDescent="0.3">
      <c r="D808" s="119"/>
      <c r="E808" s="119"/>
    </row>
    <row r="809" spans="4:5" x14ac:dyDescent="0.3">
      <c r="D809" s="119"/>
      <c r="E809" s="119"/>
    </row>
    <row r="810" spans="4:5" x14ac:dyDescent="0.3">
      <c r="D810" s="119"/>
      <c r="E810" s="119"/>
    </row>
    <row r="811" spans="4:5" x14ac:dyDescent="0.3">
      <c r="D811" s="119"/>
      <c r="E811" s="119"/>
    </row>
    <row r="812" spans="4:5" x14ac:dyDescent="0.3">
      <c r="D812" s="119"/>
      <c r="E812" s="119"/>
    </row>
    <row r="813" spans="4:5" x14ac:dyDescent="0.3">
      <c r="D813" s="119"/>
      <c r="E813" s="119"/>
    </row>
    <row r="814" spans="4:5" x14ac:dyDescent="0.3">
      <c r="D814" s="119"/>
      <c r="E814" s="119"/>
    </row>
    <row r="815" spans="4:5" x14ac:dyDescent="0.3">
      <c r="D815" s="119"/>
      <c r="E815" s="119"/>
    </row>
    <row r="816" spans="4:5" x14ac:dyDescent="0.3">
      <c r="D816" s="119"/>
      <c r="E816" s="119"/>
    </row>
    <row r="817" spans="4:5" x14ac:dyDescent="0.3">
      <c r="D817" s="119"/>
      <c r="E817" s="119"/>
    </row>
    <row r="818" spans="4:5" x14ac:dyDescent="0.3">
      <c r="D818" s="119"/>
      <c r="E818" s="119"/>
    </row>
    <row r="819" spans="4:5" x14ac:dyDescent="0.3">
      <c r="D819" s="119"/>
      <c r="E819" s="119"/>
    </row>
    <row r="820" spans="4:5" x14ac:dyDescent="0.3">
      <c r="D820" s="119"/>
      <c r="E820" s="119"/>
    </row>
    <row r="821" spans="4:5" x14ac:dyDescent="0.3">
      <c r="D821" s="119"/>
      <c r="E821" s="119"/>
    </row>
    <row r="822" spans="4:5" x14ac:dyDescent="0.3">
      <c r="D822" s="119"/>
      <c r="E822" s="119"/>
    </row>
    <row r="823" spans="4:5" x14ac:dyDescent="0.3">
      <c r="D823" s="119"/>
      <c r="E823" s="119"/>
    </row>
    <row r="824" spans="4:5" x14ac:dyDescent="0.3">
      <c r="D824" s="119"/>
      <c r="E824" s="119"/>
    </row>
    <row r="825" spans="4:5" x14ac:dyDescent="0.3">
      <c r="D825" s="119"/>
      <c r="E825" s="119"/>
    </row>
    <row r="826" spans="4:5" x14ac:dyDescent="0.3">
      <c r="D826" s="119"/>
      <c r="E826" s="119"/>
    </row>
    <row r="827" spans="4:5" x14ac:dyDescent="0.3">
      <c r="D827" s="119"/>
      <c r="E827" s="119"/>
    </row>
    <row r="828" spans="4:5" x14ac:dyDescent="0.3">
      <c r="D828" s="119"/>
      <c r="E828" s="119"/>
    </row>
    <row r="829" spans="4:5" x14ac:dyDescent="0.3">
      <c r="D829" s="119"/>
      <c r="E829" s="119"/>
    </row>
    <row r="830" spans="4:5" x14ac:dyDescent="0.3">
      <c r="D830" s="119"/>
      <c r="E830" s="119"/>
    </row>
    <row r="831" spans="4:5" x14ac:dyDescent="0.3">
      <c r="D831" s="119"/>
      <c r="E831" s="119"/>
    </row>
    <row r="832" spans="4:5" x14ac:dyDescent="0.3">
      <c r="D832" s="119"/>
      <c r="E832" s="119"/>
    </row>
    <row r="833" spans="4:5" x14ac:dyDescent="0.3">
      <c r="D833" s="119"/>
      <c r="E833" s="119"/>
    </row>
    <row r="834" spans="4:5" x14ac:dyDescent="0.3">
      <c r="D834" s="119"/>
      <c r="E834" s="119"/>
    </row>
    <row r="835" spans="4:5" x14ac:dyDescent="0.3">
      <c r="D835" s="119"/>
      <c r="E835" s="119"/>
    </row>
    <row r="836" spans="4:5" x14ac:dyDescent="0.3">
      <c r="D836" s="119"/>
      <c r="E836" s="119"/>
    </row>
    <row r="837" spans="4:5" x14ac:dyDescent="0.3">
      <c r="D837" s="119"/>
      <c r="E837" s="119"/>
    </row>
    <row r="838" spans="4:5" x14ac:dyDescent="0.3">
      <c r="D838" s="119"/>
      <c r="E838" s="119"/>
    </row>
    <row r="839" spans="4:5" x14ac:dyDescent="0.3">
      <c r="D839" s="119"/>
      <c r="E839" s="119"/>
    </row>
    <row r="840" spans="4:5" x14ac:dyDescent="0.3">
      <c r="D840" s="119"/>
      <c r="E840" s="119"/>
    </row>
    <row r="841" spans="4:5" x14ac:dyDescent="0.3">
      <c r="D841" s="119"/>
      <c r="E841" s="119"/>
    </row>
    <row r="842" spans="4:5" x14ac:dyDescent="0.3">
      <c r="D842" s="119"/>
      <c r="E842" s="119"/>
    </row>
    <row r="843" spans="4:5" x14ac:dyDescent="0.3">
      <c r="D843" s="119"/>
      <c r="E843" s="119"/>
    </row>
    <row r="844" spans="4:5" x14ac:dyDescent="0.3">
      <c r="D844" s="119"/>
      <c r="E844" s="119"/>
    </row>
    <row r="845" spans="4:5" x14ac:dyDescent="0.3">
      <c r="D845" s="119"/>
      <c r="E845" s="119"/>
    </row>
    <row r="846" spans="4:5" x14ac:dyDescent="0.3">
      <c r="D846" s="119"/>
      <c r="E846" s="119"/>
    </row>
    <row r="847" spans="4:5" x14ac:dyDescent="0.3">
      <c r="D847" s="119"/>
      <c r="E847" s="119"/>
    </row>
    <row r="848" spans="4:5" x14ac:dyDescent="0.3">
      <c r="D848" s="119"/>
      <c r="E848" s="119"/>
    </row>
    <row r="849" spans="4:5" x14ac:dyDescent="0.3">
      <c r="D849" s="119"/>
      <c r="E849" s="119"/>
    </row>
    <row r="850" spans="4:5" x14ac:dyDescent="0.3">
      <c r="D850" s="119"/>
      <c r="E850" s="119"/>
    </row>
    <row r="851" spans="4:5" x14ac:dyDescent="0.3">
      <c r="D851" s="119"/>
      <c r="E851" s="119"/>
    </row>
    <row r="852" spans="4:5" x14ac:dyDescent="0.3">
      <c r="D852" s="119"/>
      <c r="E852" s="119"/>
    </row>
    <row r="853" spans="4:5" x14ac:dyDescent="0.3">
      <c r="D853" s="119"/>
      <c r="E853" s="119"/>
    </row>
    <row r="854" spans="4:5" x14ac:dyDescent="0.3">
      <c r="D854" s="119"/>
      <c r="E854" s="119"/>
    </row>
    <row r="855" spans="4:5" x14ac:dyDescent="0.3">
      <c r="D855" s="119"/>
      <c r="E855" s="119"/>
    </row>
    <row r="856" spans="4:5" x14ac:dyDescent="0.3">
      <c r="D856" s="119"/>
      <c r="E856" s="119"/>
    </row>
    <row r="857" spans="4:5" x14ac:dyDescent="0.3">
      <c r="D857" s="119"/>
      <c r="E857" s="119"/>
    </row>
    <row r="858" spans="4:5" x14ac:dyDescent="0.3">
      <c r="D858" s="119"/>
      <c r="E858" s="119"/>
    </row>
    <row r="859" spans="4:5" x14ac:dyDescent="0.3">
      <c r="D859" s="119"/>
      <c r="E859" s="119"/>
    </row>
    <row r="860" spans="4:5" x14ac:dyDescent="0.3">
      <c r="D860" s="119"/>
      <c r="E860" s="119"/>
    </row>
    <row r="861" spans="4:5" x14ac:dyDescent="0.3">
      <c r="D861" s="119"/>
      <c r="E861" s="119"/>
    </row>
    <row r="862" spans="4:5" x14ac:dyDescent="0.3">
      <c r="D862" s="119"/>
      <c r="E862" s="119"/>
    </row>
    <row r="863" spans="4:5" x14ac:dyDescent="0.3">
      <c r="D863" s="119"/>
      <c r="E863" s="119"/>
    </row>
    <row r="864" spans="4:5" x14ac:dyDescent="0.3">
      <c r="D864" s="119"/>
      <c r="E864" s="119"/>
    </row>
    <row r="865" spans="4:5" x14ac:dyDescent="0.3">
      <c r="D865" s="119"/>
      <c r="E865" s="119"/>
    </row>
    <row r="866" spans="4:5" x14ac:dyDescent="0.3">
      <c r="D866" s="119"/>
      <c r="E866" s="119"/>
    </row>
    <row r="867" spans="4:5" x14ac:dyDescent="0.3">
      <c r="D867" s="119"/>
      <c r="E867" s="119"/>
    </row>
    <row r="868" spans="4:5" x14ac:dyDescent="0.3">
      <c r="D868" s="119"/>
      <c r="E868" s="119"/>
    </row>
    <row r="869" spans="4:5" x14ac:dyDescent="0.3">
      <c r="D869" s="119"/>
      <c r="E869" s="119"/>
    </row>
    <row r="870" spans="4:5" x14ac:dyDescent="0.3">
      <c r="D870" s="119"/>
      <c r="E870" s="119"/>
    </row>
    <row r="871" spans="4:5" x14ac:dyDescent="0.3">
      <c r="D871" s="119"/>
      <c r="E871" s="119"/>
    </row>
    <row r="872" spans="4:5" x14ac:dyDescent="0.3">
      <c r="D872" s="119"/>
      <c r="E872" s="119"/>
    </row>
    <row r="873" spans="4:5" x14ac:dyDescent="0.3">
      <c r="D873" s="119"/>
      <c r="E873" s="119"/>
    </row>
    <row r="874" spans="4:5" x14ac:dyDescent="0.3">
      <c r="D874" s="119"/>
      <c r="E874" s="119"/>
    </row>
    <row r="875" spans="4:5" x14ac:dyDescent="0.3">
      <c r="D875" s="119"/>
      <c r="E875" s="119"/>
    </row>
    <row r="876" spans="4:5" x14ac:dyDescent="0.3">
      <c r="D876" s="119"/>
      <c r="E876" s="119"/>
    </row>
    <row r="877" spans="4:5" x14ac:dyDescent="0.3">
      <c r="D877" s="119"/>
      <c r="E877" s="119"/>
    </row>
    <row r="878" spans="4:5" x14ac:dyDescent="0.3">
      <c r="D878" s="119"/>
      <c r="E878" s="119"/>
    </row>
    <row r="879" spans="4:5" x14ac:dyDescent="0.3">
      <c r="D879" s="119"/>
      <c r="E879" s="119"/>
    </row>
    <row r="880" spans="4:5" x14ac:dyDescent="0.3">
      <c r="D880" s="119"/>
      <c r="E880" s="119"/>
    </row>
    <row r="881" spans="4:5" x14ac:dyDescent="0.3">
      <c r="D881" s="119"/>
      <c r="E881" s="119"/>
    </row>
    <row r="882" spans="4:5" x14ac:dyDescent="0.3">
      <c r="D882" s="119"/>
      <c r="E882" s="119"/>
    </row>
    <row r="883" spans="4:5" x14ac:dyDescent="0.3">
      <c r="D883" s="119"/>
      <c r="E883" s="119"/>
    </row>
    <row r="884" spans="4:5" x14ac:dyDescent="0.3">
      <c r="D884" s="119"/>
      <c r="E884" s="119"/>
    </row>
    <row r="885" spans="4:5" x14ac:dyDescent="0.3">
      <c r="D885" s="119"/>
      <c r="E885" s="119"/>
    </row>
    <row r="886" spans="4:5" x14ac:dyDescent="0.3">
      <c r="D886" s="119"/>
      <c r="E886" s="119"/>
    </row>
    <row r="887" spans="4:5" x14ac:dyDescent="0.3">
      <c r="D887" s="119"/>
      <c r="E887" s="119"/>
    </row>
    <row r="888" spans="4:5" x14ac:dyDescent="0.3">
      <c r="D888" s="119"/>
      <c r="E888" s="119"/>
    </row>
    <row r="889" spans="4:5" x14ac:dyDescent="0.3">
      <c r="D889" s="119"/>
      <c r="E889" s="119"/>
    </row>
    <row r="890" spans="4:5" x14ac:dyDescent="0.3">
      <c r="D890" s="119"/>
      <c r="E890" s="119"/>
    </row>
    <row r="891" spans="4:5" x14ac:dyDescent="0.3">
      <c r="D891" s="119"/>
      <c r="E891" s="119"/>
    </row>
    <row r="892" spans="4:5" x14ac:dyDescent="0.3">
      <c r="D892" s="119"/>
      <c r="E892" s="119"/>
    </row>
    <row r="893" spans="4:5" x14ac:dyDescent="0.3">
      <c r="D893" s="119"/>
      <c r="E893" s="119"/>
    </row>
    <row r="894" spans="4:5" x14ac:dyDescent="0.3">
      <c r="D894" s="119"/>
      <c r="E894" s="119"/>
    </row>
    <row r="895" spans="4:5" x14ac:dyDescent="0.3">
      <c r="D895" s="119"/>
      <c r="E895" s="119"/>
    </row>
    <row r="896" spans="4:5" x14ac:dyDescent="0.3">
      <c r="D896" s="119"/>
      <c r="E896" s="119"/>
    </row>
    <row r="897" spans="4:5" x14ac:dyDescent="0.3">
      <c r="D897" s="119"/>
      <c r="E897" s="119"/>
    </row>
    <row r="898" spans="4:5" x14ac:dyDescent="0.3">
      <c r="D898" s="119"/>
      <c r="E898" s="119"/>
    </row>
    <row r="899" spans="4:5" x14ac:dyDescent="0.3">
      <c r="D899" s="119"/>
      <c r="E899" s="119"/>
    </row>
    <row r="900" spans="4:5" x14ac:dyDescent="0.3">
      <c r="D900" s="119"/>
      <c r="E900" s="119"/>
    </row>
    <row r="901" spans="4:5" x14ac:dyDescent="0.3">
      <c r="D901" s="119"/>
      <c r="E901" s="119"/>
    </row>
    <row r="902" spans="4:5" x14ac:dyDescent="0.3">
      <c r="D902" s="119"/>
      <c r="E902" s="119"/>
    </row>
    <row r="903" spans="4:5" x14ac:dyDescent="0.3">
      <c r="D903" s="119"/>
      <c r="E903" s="119"/>
    </row>
    <row r="904" spans="4:5" x14ac:dyDescent="0.3">
      <c r="D904" s="119"/>
      <c r="E904" s="119"/>
    </row>
    <row r="905" spans="4:5" x14ac:dyDescent="0.3">
      <c r="D905" s="119"/>
      <c r="E905" s="119"/>
    </row>
    <row r="906" spans="4:5" x14ac:dyDescent="0.3">
      <c r="D906" s="119"/>
      <c r="E906" s="119"/>
    </row>
    <row r="907" spans="4:5" x14ac:dyDescent="0.3">
      <c r="D907" s="119"/>
      <c r="E907" s="119"/>
    </row>
    <row r="908" spans="4:5" x14ac:dyDescent="0.3">
      <c r="D908" s="119"/>
      <c r="E908" s="119"/>
    </row>
    <row r="909" spans="4:5" x14ac:dyDescent="0.3">
      <c r="D909" s="119"/>
      <c r="E909" s="119"/>
    </row>
    <row r="910" spans="4:5" x14ac:dyDescent="0.3">
      <c r="D910" s="119"/>
      <c r="E910" s="119"/>
    </row>
    <row r="911" spans="4:5" x14ac:dyDescent="0.3">
      <c r="D911" s="119"/>
      <c r="E911" s="119"/>
    </row>
    <row r="912" spans="4:5" x14ac:dyDescent="0.3">
      <c r="D912" s="119"/>
      <c r="E912" s="119"/>
    </row>
    <row r="913" spans="4:5" x14ac:dyDescent="0.3">
      <c r="D913" s="119"/>
      <c r="E913" s="119"/>
    </row>
    <row r="914" spans="4:5" x14ac:dyDescent="0.3">
      <c r="D914" s="119"/>
      <c r="E914" s="119"/>
    </row>
    <row r="915" spans="4:5" x14ac:dyDescent="0.3">
      <c r="D915" s="119"/>
      <c r="E915" s="119"/>
    </row>
    <row r="916" spans="4:5" x14ac:dyDescent="0.3">
      <c r="D916" s="119"/>
      <c r="E916" s="119"/>
    </row>
    <row r="917" spans="4:5" x14ac:dyDescent="0.3">
      <c r="D917" s="119"/>
      <c r="E917" s="119"/>
    </row>
    <row r="918" spans="4:5" x14ac:dyDescent="0.3">
      <c r="D918" s="119"/>
      <c r="E918" s="119"/>
    </row>
    <row r="919" spans="4:5" x14ac:dyDescent="0.3">
      <c r="D919" s="119"/>
      <c r="E919" s="119"/>
    </row>
    <row r="920" spans="4:5" x14ac:dyDescent="0.3">
      <c r="D920" s="119"/>
      <c r="E920" s="119"/>
    </row>
    <row r="921" spans="4:5" x14ac:dyDescent="0.3">
      <c r="D921" s="119"/>
      <c r="E921" s="119"/>
    </row>
    <row r="922" spans="4:5" x14ac:dyDescent="0.3">
      <c r="D922" s="119"/>
      <c r="E922" s="119"/>
    </row>
    <row r="923" spans="4:5" x14ac:dyDescent="0.3">
      <c r="D923" s="119"/>
      <c r="E923" s="119"/>
    </row>
    <row r="924" spans="4:5" x14ac:dyDescent="0.3">
      <c r="D924" s="119"/>
      <c r="E924" s="119"/>
    </row>
    <row r="925" spans="4:5" x14ac:dyDescent="0.3">
      <c r="D925" s="119"/>
      <c r="E925" s="119"/>
    </row>
    <row r="926" spans="4:5" x14ac:dyDescent="0.3">
      <c r="D926" s="119"/>
      <c r="E926" s="119"/>
    </row>
    <row r="927" spans="4:5" x14ac:dyDescent="0.3">
      <c r="D927" s="119"/>
      <c r="E927" s="119"/>
    </row>
    <row r="928" spans="4:5" x14ac:dyDescent="0.3">
      <c r="D928" s="119"/>
      <c r="E928" s="119"/>
    </row>
    <row r="929" spans="4:5" x14ac:dyDescent="0.3">
      <c r="D929" s="119"/>
      <c r="E929" s="119"/>
    </row>
    <row r="930" spans="4:5" x14ac:dyDescent="0.3">
      <c r="D930" s="119"/>
      <c r="E930" s="119"/>
    </row>
    <row r="931" spans="4:5" x14ac:dyDescent="0.3">
      <c r="D931" s="119"/>
      <c r="E931" s="119"/>
    </row>
    <row r="932" spans="4:5" x14ac:dyDescent="0.3">
      <c r="D932" s="119"/>
      <c r="E932" s="119"/>
    </row>
    <row r="933" spans="4:5" x14ac:dyDescent="0.3">
      <c r="D933" s="119"/>
      <c r="E933" s="119"/>
    </row>
    <row r="934" spans="4:5" x14ac:dyDescent="0.3">
      <c r="D934" s="119"/>
      <c r="E934" s="119"/>
    </row>
    <row r="935" spans="4:5" x14ac:dyDescent="0.3">
      <c r="D935" s="119"/>
      <c r="E935" s="119"/>
    </row>
    <row r="936" spans="4:5" x14ac:dyDescent="0.3">
      <c r="D936" s="119"/>
      <c r="E936" s="119"/>
    </row>
    <row r="937" spans="4:5" x14ac:dyDescent="0.3">
      <c r="D937" s="119"/>
      <c r="E937" s="119"/>
    </row>
    <row r="938" spans="4:5" x14ac:dyDescent="0.3">
      <c r="D938" s="119"/>
      <c r="E938" s="119"/>
    </row>
    <row r="939" spans="4:5" x14ac:dyDescent="0.3">
      <c r="D939" s="119"/>
      <c r="E939" s="119"/>
    </row>
    <row r="940" spans="4:5" x14ac:dyDescent="0.3">
      <c r="D940" s="119"/>
      <c r="E940" s="119"/>
    </row>
    <row r="941" spans="4:5" x14ac:dyDescent="0.3">
      <c r="D941" s="119"/>
      <c r="E941" s="119"/>
    </row>
    <row r="942" spans="4:5" x14ac:dyDescent="0.3">
      <c r="D942" s="119"/>
      <c r="E942" s="119"/>
    </row>
    <row r="943" spans="4:5" x14ac:dyDescent="0.3">
      <c r="D943" s="119"/>
      <c r="E943" s="119"/>
    </row>
    <row r="944" spans="4:5" x14ac:dyDescent="0.3">
      <c r="D944" s="119"/>
      <c r="E944" s="119"/>
    </row>
    <row r="945" spans="4:5" x14ac:dyDescent="0.3">
      <c r="D945" s="119"/>
      <c r="E945" s="119"/>
    </row>
    <row r="946" spans="4:5" x14ac:dyDescent="0.3">
      <c r="D946" s="119"/>
      <c r="E946" s="119"/>
    </row>
    <row r="947" spans="4:5" x14ac:dyDescent="0.3">
      <c r="D947" s="119"/>
      <c r="E947" s="119"/>
    </row>
    <row r="948" spans="4:5" x14ac:dyDescent="0.3">
      <c r="D948" s="119"/>
      <c r="E948" s="119"/>
    </row>
    <row r="949" spans="4:5" x14ac:dyDescent="0.3">
      <c r="D949" s="119"/>
      <c r="E949" s="119"/>
    </row>
    <row r="950" spans="4:5" x14ac:dyDescent="0.3">
      <c r="D950" s="119"/>
      <c r="E950" s="119"/>
    </row>
    <row r="951" spans="4:5" x14ac:dyDescent="0.3">
      <c r="D951" s="119"/>
      <c r="E951" s="119"/>
    </row>
    <row r="952" spans="4:5" x14ac:dyDescent="0.3">
      <c r="D952" s="119"/>
      <c r="E952" s="119"/>
    </row>
    <row r="953" spans="4:5" x14ac:dyDescent="0.3">
      <c r="D953" s="119"/>
      <c r="E953" s="119"/>
    </row>
    <row r="954" spans="4:5" x14ac:dyDescent="0.3">
      <c r="D954" s="119"/>
      <c r="E954" s="119"/>
    </row>
    <row r="955" spans="4:5" x14ac:dyDescent="0.3">
      <c r="D955" s="119"/>
      <c r="E955" s="119"/>
    </row>
  </sheetData>
  <conditionalFormatting sqref="M8:M13">
    <cfRule type="dataBar" priority="1">
      <dataBar showValue="0">
        <cfvo type="min"/>
        <cfvo type="max"/>
        <color theme="7" tint="0.39997558519241921"/>
      </dataBar>
      <extLst>
        <ext xmlns:x14="http://schemas.microsoft.com/office/spreadsheetml/2009/9/main" uri="{B025F937-C7B1-47D3-B67F-A62EFF666E3E}">
          <x14:id>{A74A6D94-F9DB-4E9A-BD9E-36D3C3113FA1}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74A6D94-F9DB-4E9A-BD9E-36D3C3113FA1}">
            <x14:dataBar minLength="0" maxLength="100" border="1" negativeBarBorderColorSameAsPositive="0">
              <x14:cfvo type="autoMin"/>
              <x14:cfvo type="autoMax"/>
              <x14:borderColor rgb="FFD6007B"/>
              <x14:negativeFillColor rgb="FFFF0000"/>
              <x14:negativeBorderColor rgb="FFFF0000"/>
              <x14:axisColor rgb="FF000000"/>
            </x14:dataBar>
          </x14:cfRule>
          <xm:sqref>M8:M13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5"/>
  <sheetViews>
    <sheetView workbookViewId="0">
      <selection activeCell="H19" sqref="H19"/>
    </sheetView>
  </sheetViews>
  <sheetFormatPr defaultRowHeight="14.4" x14ac:dyDescent="0.3"/>
  <cols>
    <col min="1" max="1" width="32.33203125" customWidth="1"/>
    <col min="2" max="2" width="10.33203125" customWidth="1"/>
    <col min="3" max="3" width="19.109375" customWidth="1"/>
    <col min="4" max="4" width="9.33203125" customWidth="1"/>
    <col min="8" max="8" width="14.33203125" bestFit="1" customWidth="1"/>
    <col min="9" max="9" width="16.33203125" bestFit="1" customWidth="1"/>
  </cols>
  <sheetData>
    <row r="1" spans="1:4" x14ac:dyDescent="0.3">
      <c r="A1" t="s">
        <v>104</v>
      </c>
      <c r="B1" t="s">
        <v>105</v>
      </c>
      <c r="C1" t="s">
        <v>39</v>
      </c>
      <c r="D1" t="s">
        <v>106</v>
      </c>
    </row>
    <row r="2" spans="1:4" x14ac:dyDescent="0.3">
      <c r="A2" t="s">
        <v>4</v>
      </c>
      <c r="B2" t="s">
        <v>44</v>
      </c>
      <c r="C2" t="s">
        <v>45</v>
      </c>
      <c r="D2">
        <v>4546115</v>
      </c>
    </row>
    <row r="3" spans="1:4" x14ac:dyDescent="0.3">
      <c r="A3" t="s">
        <v>4</v>
      </c>
      <c r="B3" t="s">
        <v>44</v>
      </c>
      <c r="C3" t="s">
        <v>46</v>
      </c>
      <c r="D3">
        <v>432766</v>
      </c>
    </row>
    <row r="4" spans="1:4" x14ac:dyDescent="0.3">
      <c r="A4" t="s">
        <v>4</v>
      </c>
      <c r="B4" t="s">
        <v>44</v>
      </c>
      <c r="C4" t="s">
        <v>47</v>
      </c>
      <c r="D4">
        <v>3740432</v>
      </c>
    </row>
    <row r="5" spans="1:4" x14ac:dyDescent="0.3">
      <c r="A5" t="s">
        <v>4</v>
      </c>
      <c r="B5" t="s">
        <v>44</v>
      </c>
      <c r="C5" t="s">
        <v>48</v>
      </c>
      <c r="D5">
        <v>49557</v>
      </c>
    </row>
    <row r="6" spans="1:4" x14ac:dyDescent="0.3">
      <c r="A6" t="s">
        <v>4</v>
      </c>
      <c r="B6" t="s">
        <v>44</v>
      </c>
      <c r="C6" t="s">
        <v>49</v>
      </c>
      <c r="D6">
        <v>107936</v>
      </c>
    </row>
    <row r="7" spans="1:4" x14ac:dyDescent="0.3">
      <c r="A7" t="s">
        <v>4</v>
      </c>
      <c r="B7" t="s">
        <v>44</v>
      </c>
      <c r="C7" t="s">
        <v>50</v>
      </c>
      <c r="D7">
        <v>215424</v>
      </c>
    </row>
    <row r="8" spans="1:4" x14ac:dyDescent="0.3">
      <c r="A8" t="s">
        <v>4</v>
      </c>
      <c r="B8" t="s">
        <v>51</v>
      </c>
      <c r="C8" t="s">
        <v>45</v>
      </c>
      <c r="D8">
        <v>6478251</v>
      </c>
    </row>
    <row r="9" spans="1:4" x14ac:dyDescent="0.3">
      <c r="A9" t="s">
        <v>4</v>
      </c>
      <c r="B9" t="s">
        <v>51</v>
      </c>
      <c r="C9" t="s">
        <v>46</v>
      </c>
      <c r="D9">
        <v>648839</v>
      </c>
    </row>
    <row r="10" spans="1:4" x14ac:dyDescent="0.3">
      <c r="A10" t="s">
        <v>4</v>
      </c>
      <c r="B10" t="s">
        <v>51</v>
      </c>
      <c r="C10" t="s">
        <v>47</v>
      </c>
      <c r="D10">
        <v>5180478</v>
      </c>
    </row>
    <row r="11" spans="1:4" x14ac:dyDescent="0.3">
      <c r="A11" t="s">
        <v>4</v>
      </c>
      <c r="B11" t="s">
        <v>51</v>
      </c>
      <c r="C11" t="s">
        <v>48</v>
      </c>
      <c r="D11">
        <v>81536</v>
      </c>
    </row>
    <row r="12" spans="1:4" x14ac:dyDescent="0.3">
      <c r="A12" t="s">
        <v>4</v>
      </c>
      <c r="B12" t="s">
        <v>51</v>
      </c>
      <c r="C12" t="s">
        <v>49</v>
      </c>
      <c r="D12">
        <v>199427</v>
      </c>
    </row>
    <row r="13" spans="1:4" x14ac:dyDescent="0.3">
      <c r="A13" t="s">
        <v>4</v>
      </c>
      <c r="B13" t="s">
        <v>51</v>
      </c>
      <c r="C13" t="s">
        <v>50</v>
      </c>
      <c r="D13">
        <v>367971</v>
      </c>
    </row>
    <row r="14" spans="1:4" x14ac:dyDescent="0.3">
      <c r="A14" t="s">
        <v>4</v>
      </c>
      <c r="B14" t="s">
        <v>52</v>
      </c>
      <c r="C14" t="s">
        <v>45</v>
      </c>
      <c r="D14">
        <v>7367068</v>
      </c>
    </row>
    <row r="15" spans="1:4" x14ac:dyDescent="0.3">
      <c r="A15" t="s">
        <v>4</v>
      </c>
      <c r="B15" t="s">
        <v>52</v>
      </c>
      <c r="C15" t="s">
        <v>46</v>
      </c>
      <c r="D15">
        <v>754985</v>
      </c>
    </row>
    <row r="16" spans="1:4" x14ac:dyDescent="0.3">
      <c r="A16" t="s">
        <v>4</v>
      </c>
      <c r="B16" t="s">
        <v>52</v>
      </c>
      <c r="C16" t="s">
        <v>47</v>
      </c>
      <c r="D16">
        <v>5851043</v>
      </c>
    </row>
    <row r="17" spans="1:4" x14ac:dyDescent="0.3">
      <c r="A17" t="s">
        <v>4</v>
      </c>
      <c r="B17" t="s">
        <v>52</v>
      </c>
      <c r="C17" t="s">
        <v>48</v>
      </c>
      <c r="D17">
        <v>90438</v>
      </c>
    </row>
    <row r="18" spans="1:4" x14ac:dyDescent="0.3">
      <c r="A18" t="s">
        <v>4</v>
      </c>
      <c r="B18" t="s">
        <v>52</v>
      </c>
      <c r="C18" t="s">
        <v>49</v>
      </c>
      <c r="D18">
        <v>230297</v>
      </c>
    </row>
    <row r="19" spans="1:4" x14ac:dyDescent="0.3">
      <c r="A19" t="s">
        <v>4</v>
      </c>
      <c r="B19" t="s">
        <v>52</v>
      </c>
      <c r="C19" t="s">
        <v>50</v>
      </c>
      <c r="D19">
        <v>440305</v>
      </c>
    </row>
    <row r="20" spans="1:4" x14ac:dyDescent="0.3">
      <c r="A20" t="s">
        <v>4</v>
      </c>
      <c r="B20" t="s">
        <v>53</v>
      </c>
      <c r="C20" t="s">
        <v>45</v>
      </c>
      <c r="D20">
        <v>5282939</v>
      </c>
    </row>
    <row r="21" spans="1:4" x14ac:dyDescent="0.3">
      <c r="A21" t="s">
        <v>4</v>
      </c>
      <c r="B21" t="s">
        <v>53</v>
      </c>
      <c r="C21" t="s">
        <v>46</v>
      </c>
      <c r="D21">
        <v>497053</v>
      </c>
    </row>
    <row r="22" spans="1:4" x14ac:dyDescent="0.3">
      <c r="A22" t="s">
        <v>4</v>
      </c>
      <c r="B22" t="s">
        <v>53</v>
      </c>
      <c r="C22" t="s">
        <v>47</v>
      </c>
      <c r="D22">
        <v>4318828</v>
      </c>
    </row>
    <row r="23" spans="1:4" x14ac:dyDescent="0.3">
      <c r="A23" t="s">
        <v>4</v>
      </c>
      <c r="B23" t="s">
        <v>53</v>
      </c>
      <c r="C23" t="s">
        <v>48</v>
      </c>
      <c r="D23">
        <v>64911</v>
      </c>
    </row>
    <row r="24" spans="1:4" x14ac:dyDescent="0.3">
      <c r="A24" t="s">
        <v>4</v>
      </c>
      <c r="B24" t="s">
        <v>53</v>
      </c>
      <c r="C24" t="s">
        <v>49</v>
      </c>
      <c r="D24">
        <v>139708</v>
      </c>
    </row>
    <row r="25" spans="1:4" x14ac:dyDescent="0.3">
      <c r="A25" t="s">
        <v>4</v>
      </c>
      <c r="B25" t="s">
        <v>53</v>
      </c>
      <c r="C25" t="s">
        <v>50</v>
      </c>
      <c r="D25">
        <v>262439</v>
      </c>
    </row>
    <row r="26" spans="1:4" x14ac:dyDescent="0.3">
      <c r="A26" t="s">
        <v>4</v>
      </c>
      <c r="B26" t="s">
        <v>54</v>
      </c>
      <c r="C26" t="s">
        <v>45</v>
      </c>
      <c r="D26">
        <v>4676120</v>
      </c>
    </row>
    <row r="27" spans="1:4" x14ac:dyDescent="0.3">
      <c r="A27" t="s">
        <v>4</v>
      </c>
      <c r="B27" t="s">
        <v>54</v>
      </c>
      <c r="C27" t="s">
        <v>46</v>
      </c>
      <c r="D27">
        <v>436568</v>
      </c>
    </row>
    <row r="28" spans="1:4" x14ac:dyDescent="0.3">
      <c r="A28" t="s">
        <v>4</v>
      </c>
      <c r="B28" t="s">
        <v>54</v>
      </c>
      <c r="C28" t="s">
        <v>47</v>
      </c>
      <c r="D28">
        <v>3874988</v>
      </c>
    </row>
    <row r="29" spans="1:4" x14ac:dyDescent="0.3">
      <c r="A29" t="s">
        <v>4</v>
      </c>
      <c r="B29" t="s">
        <v>54</v>
      </c>
      <c r="C29" t="s">
        <v>48</v>
      </c>
      <c r="D29">
        <v>50391</v>
      </c>
    </row>
    <row r="30" spans="1:4" x14ac:dyDescent="0.3">
      <c r="A30" t="s">
        <v>4</v>
      </c>
      <c r="B30" t="s">
        <v>54</v>
      </c>
      <c r="C30" t="s">
        <v>49</v>
      </c>
      <c r="D30">
        <v>110780</v>
      </c>
    </row>
    <row r="31" spans="1:4" x14ac:dyDescent="0.3">
      <c r="A31" t="s">
        <v>4</v>
      </c>
      <c r="B31" t="s">
        <v>54</v>
      </c>
      <c r="C31" t="s">
        <v>50</v>
      </c>
      <c r="D31">
        <v>203393</v>
      </c>
    </row>
    <row r="32" spans="1:4" x14ac:dyDescent="0.3">
      <c r="A32" t="s">
        <v>4</v>
      </c>
      <c r="B32" t="s">
        <v>55</v>
      </c>
      <c r="C32" t="s">
        <v>45</v>
      </c>
      <c r="D32">
        <v>6747049</v>
      </c>
    </row>
    <row r="33" spans="1:4" x14ac:dyDescent="0.3">
      <c r="A33" t="s">
        <v>4</v>
      </c>
      <c r="B33" t="s">
        <v>55</v>
      </c>
      <c r="C33" t="s">
        <v>46</v>
      </c>
      <c r="D33">
        <v>634674</v>
      </c>
    </row>
    <row r="34" spans="1:4" x14ac:dyDescent="0.3">
      <c r="A34" t="s">
        <v>4</v>
      </c>
      <c r="B34" t="s">
        <v>55</v>
      </c>
      <c r="C34" t="s">
        <v>47</v>
      </c>
      <c r="D34">
        <v>5460037</v>
      </c>
    </row>
    <row r="35" spans="1:4" x14ac:dyDescent="0.3">
      <c r="A35" t="s">
        <v>4</v>
      </c>
      <c r="B35" t="s">
        <v>55</v>
      </c>
      <c r="C35" t="s">
        <v>48</v>
      </c>
      <c r="D35">
        <v>89225</v>
      </c>
    </row>
    <row r="36" spans="1:4" x14ac:dyDescent="0.3">
      <c r="A36" t="s">
        <v>4</v>
      </c>
      <c r="B36" t="s">
        <v>55</v>
      </c>
      <c r="C36" t="s">
        <v>49</v>
      </c>
      <c r="D36">
        <v>189501</v>
      </c>
    </row>
    <row r="37" spans="1:4" x14ac:dyDescent="0.3">
      <c r="A37" t="s">
        <v>4</v>
      </c>
      <c r="B37" t="s">
        <v>55</v>
      </c>
      <c r="C37" t="s">
        <v>50</v>
      </c>
      <c r="D37">
        <v>373612</v>
      </c>
    </row>
    <row r="38" spans="1:4" x14ac:dyDescent="0.3">
      <c r="A38" t="s">
        <v>4</v>
      </c>
      <c r="B38" t="s">
        <v>56</v>
      </c>
      <c r="C38" t="s">
        <v>45</v>
      </c>
      <c r="D38">
        <v>7719407</v>
      </c>
    </row>
    <row r="39" spans="1:4" x14ac:dyDescent="0.3">
      <c r="A39" t="s">
        <v>4</v>
      </c>
      <c r="B39" t="s">
        <v>56</v>
      </c>
      <c r="C39" t="s">
        <v>46</v>
      </c>
      <c r="D39">
        <v>713739</v>
      </c>
    </row>
    <row r="40" spans="1:4" x14ac:dyDescent="0.3">
      <c r="A40" t="s">
        <v>4</v>
      </c>
      <c r="B40" t="s">
        <v>56</v>
      </c>
      <c r="C40" t="s">
        <v>47</v>
      </c>
      <c r="D40">
        <v>6211891</v>
      </c>
    </row>
    <row r="41" spans="1:4" x14ac:dyDescent="0.3">
      <c r="A41" t="s">
        <v>4</v>
      </c>
      <c r="B41" t="s">
        <v>56</v>
      </c>
      <c r="C41" t="s">
        <v>48</v>
      </c>
      <c r="D41">
        <v>100314</v>
      </c>
    </row>
    <row r="42" spans="1:4" x14ac:dyDescent="0.3">
      <c r="A42" t="s">
        <v>4</v>
      </c>
      <c r="B42" t="s">
        <v>56</v>
      </c>
      <c r="C42" t="s">
        <v>49</v>
      </c>
      <c r="D42">
        <v>227388</v>
      </c>
    </row>
    <row r="43" spans="1:4" x14ac:dyDescent="0.3">
      <c r="A43" t="s">
        <v>4</v>
      </c>
      <c r="B43" t="s">
        <v>56</v>
      </c>
      <c r="C43" t="s">
        <v>50</v>
      </c>
      <c r="D43">
        <v>466075</v>
      </c>
    </row>
    <row r="44" spans="1:4" x14ac:dyDescent="0.3">
      <c r="A44" t="s">
        <v>4</v>
      </c>
      <c r="B44" t="s">
        <v>57</v>
      </c>
      <c r="C44" t="s">
        <v>45</v>
      </c>
      <c r="D44">
        <v>5538476</v>
      </c>
    </row>
    <row r="45" spans="1:4" x14ac:dyDescent="0.3">
      <c r="A45" t="s">
        <v>4</v>
      </c>
      <c r="B45" t="s">
        <v>57</v>
      </c>
      <c r="C45" t="s">
        <v>46</v>
      </c>
      <c r="D45">
        <v>467655</v>
      </c>
    </row>
    <row r="46" spans="1:4" x14ac:dyDescent="0.3">
      <c r="A46" t="s">
        <v>4</v>
      </c>
      <c r="B46" t="s">
        <v>57</v>
      </c>
      <c r="C46" t="s">
        <v>47</v>
      </c>
      <c r="D46">
        <v>4601658</v>
      </c>
    </row>
    <row r="47" spans="1:4" x14ac:dyDescent="0.3">
      <c r="A47" t="s">
        <v>4</v>
      </c>
      <c r="B47" t="s">
        <v>57</v>
      </c>
      <c r="C47" t="s">
        <v>48</v>
      </c>
      <c r="D47">
        <v>66112</v>
      </c>
    </row>
    <row r="48" spans="1:4" x14ac:dyDescent="0.3">
      <c r="A48" t="s">
        <v>4</v>
      </c>
      <c r="B48" t="s">
        <v>57</v>
      </c>
      <c r="C48" t="s">
        <v>49</v>
      </c>
      <c r="D48">
        <v>137889</v>
      </c>
    </row>
    <row r="49" spans="1:4" x14ac:dyDescent="0.3">
      <c r="A49" t="s">
        <v>4</v>
      </c>
      <c r="B49" t="s">
        <v>57</v>
      </c>
      <c r="C49" t="s">
        <v>50</v>
      </c>
      <c r="D49">
        <v>265162</v>
      </c>
    </row>
    <row r="50" spans="1:4" x14ac:dyDescent="0.3">
      <c r="A50" t="s">
        <v>4</v>
      </c>
      <c r="B50" t="s">
        <v>58</v>
      </c>
      <c r="C50" t="s">
        <v>45</v>
      </c>
      <c r="D50">
        <v>4804441</v>
      </c>
    </row>
    <row r="51" spans="1:4" x14ac:dyDescent="0.3">
      <c r="A51" t="s">
        <v>4</v>
      </c>
      <c r="B51" t="s">
        <v>58</v>
      </c>
      <c r="C51" t="s">
        <v>46</v>
      </c>
      <c r="D51">
        <v>400785</v>
      </c>
    </row>
    <row r="52" spans="1:4" x14ac:dyDescent="0.3">
      <c r="A52" t="s">
        <v>4</v>
      </c>
      <c r="B52" t="s">
        <v>58</v>
      </c>
      <c r="C52" t="s">
        <v>47</v>
      </c>
      <c r="D52">
        <v>4062698</v>
      </c>
    </row>
    <row r="53" spans="1:4" x14ac:dyDescent="0.3">
      <c r="A53" t="s">
        <v>4</v>
      </c>
      <c r="B53" t="s">
        <v>58</v>
      </c>
      <c r="C53" t="s">
        <v>48</v>
      </c>
      <c r="D53">
        <v>45956</v>
      </c>
    </row>
    <row r="54" spans="1:4" x14ac:dyDescent="0.3">
      <c r="A54" t="s">
        <v>4</v>
      </c>
      <c r="B54" t="s">
        <v>58</v>
      </c>
      <c r="C54" t="s">
        <v>49</v>
      </c>
      <c r="D54">
        <v>100116</v>
      </c>
    </row>
    <row r="55" spans="1:4" x14ac:dyDescent="0.3">
      <c r="A55" t="s">
        <v>4</v>
      </c>
      <c r="B55" t="s">
        <v>58</v>
      </c>
      <c r="C55" t="s">
        <v>50</v>
      </c>
      <c r="D55">
        <v>194886</v>
      </c>
    </row>
    <row r="56" spans="1:4" x14ac:dyDescent="0.3">
      <c r="A56" t="s">
        <v>4</v>
      </c>
      <c r="B56" t="s">
        <v>59</v>
      </c>
      <c r="C56" t="s">
        <v>45</v>
      </c>
      <c r="D56">
        <v>7278735</v>
      </c>
    </row>
    <row r="57" spans="1:4" x14ac:dyDescent="0.3">
      <c r="A57" t="s">
        <v>4</v>
      </c>
      <c r="B57" t="s">
        <v>59</v>
      </c>
      <c r="C57" t="s">
        <v>46</v>
      </c>
      <c r="D57">
        <v>610996</v>
      </c>
    </row>
    <row r="58" spans="1:4" x14ac:dyDescent="0.3">
      <c r="A58" t="s">
        <v>4</v>
      </c>
      <c r="B58" t="s">
        <v>59</v>
      </c>
      <c r="C58" t="s">
        <v>47</v>
      </c>
      <c r="D58">
        <v>5914826</v>
      </c>
    </row>
    <row r="59" spans="1:4" x14ac:dyDescent="0.3">
      <c r="A59" t="s">
        <v>4</v>
      </c>
      <c r="B59" t="s">
        <v>59</v>
      </c>
      <c r="C59" t="s">
        <v>48</v>
      </c>
      <c r="D59">
        <v>84394</v>
      </c>
    </row>
    <row r="60" spans="1:4" x14ac:dyDescent="0.3">
      <c r="A60" t="s">
        <v>4</v>
      </c>
      <c r="B60" t="s">
        <v>59</v>
      </c>
      <c r="C60" t="s">
        <v>49</v>
      </c>
      <c r="D60">
        <v>200333</v>
      </c>
    </row>
    <row r="61" spans="1:4" x14ac:dyDescent="0.3">
      <c r="A61" t="s">
        <v>4</v>
      </c>
      <c r="B61" t="s">
        <v>59</v>
      </c>
      <c r="C61" t="s">
        <v>50</v>
      </c>
      <c r="D61">
        <v>468186</v>
      </c>
    </row>
    <row r="62" spans="1:4" x14ac:dyDescent="0.3">
      <c r="A62" t="s">
        <v>4</v>
      </c>
      <c r="B62" t="s">
        <v>60</v>
      </c>
      <c r="C62" t="s">
        <v>45</v>
      </c>
      <c r="D62">
        <v>8219084</v>
      </c>
    </row>
    <row r="63" spans="1:4" x14ac:dyDescent="0.3">
      <c r="A63" t="s">
        <v>4</v>
      </c>
      <c r="B63" t="s">
        <v>60</v>
      </c>
      <c r="C63" t="s">
        <v>46</v>
      </c>
      <c r="D63">
        <v>685538</v>
      </c>
    </row>
    <row r="64" spans="1:4" x14ac:dyDescent="0.3">
      <c r="A64" t="s">
        <v>4</v>
      </c>
      <c r="B64" t="s">
        <v>60</v>
      </c>
      <c r="C64" t="s">
        <v>47</v>
      </c>
      <c r="D64">
        <v>6617238</v>
      </c>
    </row>
    <row r="65" spans="1:4" x14ac:dyDescent="0.3">
      <c r="A65" t="s">
        <v>4</v>
      </c>
      <c r="B65" t="s">
        <v>60</v>
      </c>
      <c r="C65" t="s">
        <v>48</v>
      </c>
      <c r="D65">
        <v>96963</v>
      </c>
    </row>
    <row r="66" spans="1:4" x14ac:dyDescent="0.3">
      <c r="A66" t="s">
        <v>4</v>
      </c>
      <c r="B66" t="s">
        <v>60</v>
      </c>
      <c r="C66" t="s">
        <v>49</v>
      </c>
      <c r="D66">
        <v>259416</v>
      </c>
    </row>
    <row r="67" spans="1:4" x14ac:dyDescent="0.3">
      <c r="A67" t="s">
        <v>4</v>
      </c>
      <c r="B67" t="s">
        <v>60</v>
      </c>
      <c r="C67" t="s">
        <v>50</v>
      </c>
      <c r="D67">
        <v>559929</v>
      </c>
    </row>
    <row r="68" spans="1:4" x14ac:dyDescent="0.3">
      <c r="A68" t="s">
        <v>4</v>
      </c>
      <c r="B68" t="s">
        <v>61</v>
      </c>
      <c r="C68" t="s">
        <v>45</v>
      </c>
      <c r="D68">
        <v>6084540</v>
      </c>
    </row>
    <row r="69" spans="1:4" x14ac:dyDescent="0.3">
      <c r="A69" t="s">
        <v>4</v>
      </c>
      <c r="B69" t="s">
        <v>61</v>
      </c>
      <c r="C69" t="s">
        <v>46</v>
      </c>
      <c r="D69">
        <v>440738</v>
      </c>
    </row>
    <row r="70" spans="1:4" x14ac:dyDescent="0.3">
      <c r="A70" t="s">
        <v>4</v>
      </c>
      <c r="B70" t="s">
        <v>61</v>
      </c>
      <c r="C70" t="s">
        <v>47</v>
      </c>
      <c r="D70">
        <v>5100131</v>
      </c>
    </row>
    <row r="71" spans="1:4" x14ac:dyDescent="0.3">
      <c r="A71" t="s">
        <v>4</v>
      </c>
      <c r="B71" t="s">
        <v>61</v>
      </c>
      <c r="C71" t="s">
        <v>48</v>
      </c>
      <c r="D71">
        <v>67642</v>
      </c>
    </row>
    <row r="72" spans="1:4" x14ac:dyDescent="0.3">
      <c r="A72" t="s">
        <v>4</v>
      </c>
      <c r="B72" t="s">
        <v>61</v>
      </c>
      <c r="C72" t="s">
        <v>49</v>
      </c>
      <c r="D72">
        <v>143805</v>
      </c>
    </row>
    <row r="73" spans="1:4" x14ac:dyDescent="0.3">
      <c r="A73" t="s">
        <v>4</v>
      </c>
      <c r="B73" t="s">
        <v>61</v>
      </c>
      <c r="C73" t="s">
        <v>50</v>
      </c>
      <c r="D73">
        <v>332224</v>
      </c>
    </row>
    <row r="74" spans="1:4" x14ac:dyDescent="0.3">
      <c r="A74" t="s">
        <v>4</v>
      </c>
      <c r="B74" t="s">
        <v>62</v>
      </c>
      <c r="C74" t="s">
        <v>45</v>
      </c>
      <c r="D74">
        <v>5541321</v>
      </c>
    </row>
    <row r="75" spans="1:4" x14ac:dyDescent="0.3">
      <c r="A75" t="s">
        <v>4</v>
      </c>
      <c r="B75" t="s">
        <v>62</v>
      </c>
      <c r="C75" t="s">
        <v>46</v>
      </c>
      <c r="D75">
        <v>379553</v>
      </c>
    </row>
    <row r="76" spans="1:4" x14ac:dyDescent="0.3">
      <c r="A76" t="s">
        <v>4</v>
      </c>
      <c r="B76" t="s">
        <v>62</v>
      </c>
      <c r="C76" t="s">
        <v>47</v>
      </c>
      <c r="D76">
        <v>4740924</v>
      </c>
    </row>
    <row r="77" spans="1:4" x14ac:dyDescent="0.3">
      <c r="A77" t="s">
        <v>4</v>
      </c>
      <c r="B77" t="s">
        <v>62</v>
      </c>
      <c r="C77" t="s">
        <v>48</v>
      </c>
      <c r="D77">
        <v>46806</v>
      </c>
    </row>
    <row r="78" spans="1:4" x14ac:dyDescent="0.3">
      <c r="A78" t="s">
        <v>4</v>
      </c>
      <c r="B78" t="s">
        <v>62</v>
      </c>
      <c r="C78" t="s">
        <v>49</v>
      </c>
      <c r="D78">
        <v>113413</v>
      </c>
    </row>
    <row r="79" spans="1:4" x14ac:dyDescent="0.3">
      <c r="A79" t="s">
        <v>4</v>
      </c>
      <c r="B79" t="s">
        <v>62</v>
      </c>
      <c r="C79" t="s">
        <v>50</v>
      </c>
      <c r="D79">
        <v>260625</v>
      </c>
    </row>
    <row r="80" spans="1:4" x14ac:dyDescent="0.3">
      <c r="A80" t="s">
        <v>4</v>
      </c>
      <c r="B80" t="s">
        <v>63</v>
      </c>
      <c r="C80" t="s">
        <v>45</v>
      </c>
      <c r="D80">
        <v>8072483</v>
      </c>
    </row>
    <row r="81" spans="1:4" x14ac:dyDescent="0.3">
      <c r="A81" t="s">
        <v>4</v>
      </c>
      <c r="B81" t="s">
        <v>63</v>
      </c>
      <c r="C81" t="s">
        <v>46</v>
      </c>
      <c r="D81">
        <v>580130</v>
      </c>
    </row>
    <row r="82" spans="1:4" x14ac:dyDescent="0.3">
      <c r="A82" t="s">
        <v>4</v>
      </c>
      <c r="B82" t="s">
        <v>63</v>
      </c>
      <c r="C82" t="s">
        <v>47</v>
      </c>
      <c r="D82">
        <v>6733056</v>
      </c>
    </row>
    <row r="83" spans="1:4" x14ac:dyDescent="0.3">
      <c r="A83" t="s">
        <v>4</v>
      </c>
      <c r="B83" t="s">
        <v>63</v>
      </c>
      <c r="C83" t="s">
        <v>48</v>
      </c>
      <c r="D83">
        <v>88309</v>
      </c>
    </row>
    <row r="84" spans="1:4" x14ac:dyDescent="0.3">
      <c r="A84" t="s">
        <v>4</v>
      </c>
      <c r="B84" t="s">
        <v>63</v>
      </c>
      <c r="C84" t="s">
        <v>49</v>
      </c>
      <c r="D84">
        <v>200042</v>
      </c>
    </row>
    <row r="85" spans="1:4" x14ac:dyDescent="0.3">
      <c r="A85" t="s">
        <v>4</v>
      </c>
      <c r="B85" t="s">
        <v>63</v>
      </c>
      <c r="C85" t="s">
        <v>50</v>
      </c>
      <c r="D85">
        <v>470946</v>
      </c>
    </row>
    <row r="86" spans="1:4" x14ac:dyDescent="0.3">
      <c r="A86" t="s">
        <v>4</v>
      </c>
      <c r="B86" t="s">
        <v>64</v>
      </c>
      <c r="C86" t="s">
        <v>45</v>
      </c>
      <c r="D86">
        <v>9166638</v>
      </c>
    </row>
    <row r="87" spans="1:4" x14ac:dyDescent="0.3">
      <c r="A87" t="s">
        <v>4</v>
      </c>
      <c r="B87" t="s">
        <v>64</v>
      </c>
      <c r="C87" t="s">
        <v>46</v>
      </c>
      <c r="D87">
        <v>653801</v>
      </c>
    </row>
    <row r="88" spans="1:4" x14ac:dyDescent="0.3">
      <c r="A88" t="s">
        <v>4</v>
      </c>
      <c r="B88" t="s">
        <v>64</v>
      </c>
      <c r="C88" t="s">
        <v>47</v>
      </c>
      <c r="D88">
        <v>7621339</v>
      </c>
    </row>
    <row r="89" spans="1:4" x14ac:dyDescent="0.3">
      <c r="A89" t="s">
        <v>4</v>
      </c>
      <c r="B89" t="s">
        <v>64</v>
      </c>
      <c r="C89" t="s">
        <v>48</v>
      </c>
      <c r="D89">
        <v>99683</v>
      </c>
    </row>
    <row r="90" spans="1:4" x14ac:dyDescent="0.3">
      <c r="A90" t="s">
        <v>4</v>
      </c>
      <c r="B90" t="s">
        <v>64</v>
      </c>
      <c r="C90" t="s">
        <v>49</v>
      </c>
      <c r="D90">
        <v>226306</v>
      </c>
    </row>
    <row r="91" spans="1:4" x14ac:dyDescent="0.3">
      <c r="A91" t="s">
        <v>4</v>
      </c>
      <c r="B91" t="s">
        <v>64</v>
      </c>
      <c r="C91" t="s">
        <v>50</v>
      </c>
      <c r="D91">
        <v>565509</v>
      </c>
    </row>
    <row r="92" spans="1:4" x14ac:dyDescent="0.3">
      <c r="A92" t="s">
        <v>4</v>
      </c>
      <c r="B92" t="s">
        <v>65</v>
      </c>
      <c r="C92" t="s">
        <v>45</v>
      </c>
      <c r="D92">
        <v>6878352</v>
      </c>
    </row>
    <row r="93" spans="1:4" x14ac:dyDescent="0.3">
      <c r="A93" t="s">
        <v>4</v>
      </c>
      <c r="B93" t="s">
        <v>65</v>
      </c>
      <c r="C93" t="s">
        <v>46</v>
      </c>
      <c r="D93">
        <v>452194</v>
      </c>
    </row>
    <row r="94" spans="1:4" x14ac:dyDescent="0.3">
      <c r="A94" t="s">
        <v>4</v>
      </c>
      <c r="B94" t="s">
        <v>65</v>
      </c>
      <c r="C94" t="s">
        <v>47</v>
      </c>
      <c r="D94">
        <v>5867199</v>
      </c>
    </row>
    <row r="95" spans="1:4" x14ac:dyDescent="0.3">
      <c r="A95" t="s">
        <v>4</v>
      </c>
      <c r="B95" t="s">
        <v>65</v>
      </c>
      <c r="C95" t="s">
        <v>48</v>
      </c>
      <c r="D95">
        <v>68241</v>
      </c>
    </row>
    <row r="96" spans="1:4" x14ac:dyDescent="0.3">
      <c r="A96" t="s">
        <v>4</v>
      </c>
      <c r="B96" t="s">
        <v>65</v>
      </c>
      <c r="C96" t="s">
        <v>49</v>
      </c>
      <c r="D96">
        <v>144910</v>
      </c>
    </row>
    <row r="97" spans="1:4" x14ac:dyDescent="0.3">
      <c r="A97" t="s">
        <v>4</v>
      </c>
      <c r="B97" t="s">
        <v>65</v>
      </c>
      <c r="C97" t="s">
        <v>50</v>
      </c>
      <c r="D97">
        <v>345808</v>
      </c>
    </row>
    <row r="98" spans="1:4" x14ac:dyDescent="0.3">
      <c r="A98" t="s">
        <v>4</v>
      </c>
      <c r="B98" t="s">
        <v>66</v>
      </c>
      <c r="C98" t="s">
        <v>45</v>
      </c>
      <c r="D98">
        <v>6419047</v>
      </c>
    </row>
    <row r="99" spans="1:4" x14ac:dyDescent="0.3">
      <c r="A99" t="s">
        <v>4</v>
      </c>
      <c r="B99" t="s">
        <v>66</v>
      </c>
      <c r="C99" t="s">
        <v>46</v>
      </c>
      <c r="D99">
        <v>419334</v>
      </c>
    </row>
    <row r="100" spans="1:4" x14ac:dyDescent="0.3">
      <c r="A100" t="s">
        <v>4</v>
      </c>
      <c r="B100" t="s">
        <v>66</v>
      </c>
      <c r="C100" t="s">
        <v>47</v>
      </c>
      <c r="D100">
        <v>5534979</v>
      </c>
    </row>
    <row r="101" spans="1:4" x14ac:dyDescent="0.3">
      <c r="A101" t="s">
        <v>4</v>
      </c>
      <c r="B101" t="s">
        <v>66</v>
      </c>
      <c r="C101" t="s">
        <v>48</v>
      </c>
      <c r="D101">
        <v>58771</v>
      </c>
    </row>
    <row r="102" spans="1:4" x14ac:dyDescent="0.3">
      <c r="A102" t="s">
        <v>4</v>
      </c>
      <c r="B102" t="s">
        <v>66</v>
      </c>
      <c r="C102" t="s">
        <v>49</v>
      </c>
      <c r="D102">
        <v>123034</v>
      </c>
    </row>
    <row r="103" spans="1:4" x14ac:dyDescent="0.3">
      <c r="A103" t="s">
        <v>4</v>
      </c>
      <c r="B103" t="s">
        <v>66</v>
      </c>
      <c r="C103" t="s">
        <v>50</v>
      </c>
      <c r="D103">
        <v>282929</v>
      </c>
    </row>
    <row r="104" spans="1:4" x14ac:dyDescent="0.3">
      <c r="A104" t="s">
        <v>4</v>
      </c>
      <c r="B104" t="s">
        <v>67</v>
      </c>
      <c r="C104" t="s">
        <v>45</v>
      </c>
      <c r="D104">
        <v>8814289</v>
      </c>
    </row>
    <row r="105" spans="1:4" x14ac:dyDescent="0.3">
      <c r="A105" t="s">
        <v>4</v>
      </c>
      <c r="B105" t="s">
        <v>67</v>
      </c>
      <c r="C105" t="s">
        <v>46</v>
      </c>
      <c r="D105">
        <v>625599</v>
      </c>
    </row>
    <row r="106" spans="1:4" x14ac:dyDescent="0.3">
      <c r="A106" t="s">
        <v>4</v>
      </c>
      <c r="B106" t="s">
        <v>67</v>
      </c>
      <c r="C106" t="s">
        <v>47</v>
      </c>
      <c r="D106">
        <v>7415559</v>
      </c>
    </row>
    <row r="107" spans="1:4" x14ac:dyDescent="0.3">
      <c r="A107" t="s">
        <v>4</v>
      </c>
      <c r="B107" t="s">
        <v>67</v>
      </c>
      <c r="C107" t="s">
        <v>48</v>
      </c>
      <c r="D107">
        <v>91072</v>
      </c>
    </row>
    <row r="108" spans="1:4" x14ac:dyDescent="0.3">
      <c r="A108" t="s">
        <v>4</v>
      </c>
      <c r="B108" t="s">
        <v>67</v>
      </c>
      <c r="C108" t="s">
        <v>49</v>
      </c>
      <c r="D108">
        <v>200402</v>
      </c>
    </row>
    <row r="109" spans="1:4" x14ac:dyDescent="0.3">
      <c r="A109" t="s">
        <v>4</v>
      </c>
      <c r="B109" t="s">
        <v>67</v>
      </c>
      <c r="C109" t="s">
        <v>50</v>
      </c>
      <c r="D109">
        <v>481657</v>
      </c>
    </row>
    <row r="110" spans="1:4" x14ac:dyDescent="0.3">
      <c r="A110" t="s">
        <v>4</v>
      </c>
      <c r="B110" t="s">
        <v>68</v>
      </c>
      <c r="C110" t="s">
        <v>45</v>
      </c>
      <c r="D110">
        <v>9989845</v>
      </c>
    </row>
    <row r="111" spans="1:4" x14ac:dyDescent="0.3">
      <c r="A111" t="s">
        <v>4</v>
      </c>
      <c r="B111" t="s">
        <v>68</v>
      </c>
      <c r="C111" t="s">
        <v>46</v>
      </c>
      <c r="D111">
        <v>706690</v>
      </c>
    </row>
    <row r="112" spans="1:4" x14ac:dyDescent="0.3">
      <c r="A112" t="s">
        <v>4</v>
      </c>
      <c r="B112" t="s">
        <v>68</v>
      </c>
      <c r="C112" t="s">
        <v>47</v>
      </c>
      <c r="D112">
        <v>8361602</v>
      </c>
    </row>
    <row r="113" spans="1:4" x14ac:dyDescent="0.3">
      <c r="A113" t="s">
        <v>4</v>
      </c>
      <c r="B113" t="s">
        <v>68</v>
      </c>
      <c r="C113" t="s">
        <v>48</v>
      </c>
      <c r="D113">
        <v>104956</v>
      </c>
    </row>
    <row r="114" spans="1:4" x14ac:dyDescent="0.3">
      <c r="A114" t="s">
        <v>4</v>
      </c>
      <c r="B114" t="s">
        <v>68</v>
      </c>
      <c r="C114" t="s">
        <v>49</v>
      </c>
      <c r="D114">
        <v>253870</v>
      </c>
    </row>
    <row r="115" spans="1:4" x14ac:dyDescent="0.3">
      <c r="A115" t="s">
        <v>4</v>
      </c>
      <c r="B115" t="s">
        <v>68</v>
      </c>
      <c r="C115" t="s">
        <v>50</v>
      </c>
      <c r="D115">
        <v>562727</v>
      </c>
    </row>
    <row r="116" spans="1:4" x14ac:dyDescent="0.3">
      <c r="A116" t="s">
        <v>4</v>
      </c>
      <c r="B116" t="s">
        <v>69</v>
      </c>
      <c r="C116" t="s">
        <v>45</v>
      </c>
      <c r="D116">
        <v>7518046</v>
      </c>
    </row>
    <row r="117" spans="1:4" x14ac:dyDescent="0.3">
      <c r="A117" t="s">
        <v>4</v>
      </c>
      <c r="B117" t="s">
        <v>69</v>
      </c>
      <c r="C117" t="s">
        <v>46</v>
      </c>
      <c r="D117">
        <v>474610</v>
      </c>
    </row>
    <row r="118" spans="1:4" x14ac:dyDescent="0.3">
      <c r="A118" t="s">
        <v>4</v>
      </c>
      <c r="B118" t="s">
        <v>69</v>
      </c>
      <c r="C118" t="s">
        <v>47</v>
      </c>
      <c r="D118">
        <v>6466748</v>
      </c>
    </row>
    <row r="119" spans="1:4" x14ac:dyDescent="0.3">
      <c r="A119" t="s">
        <v>4</v>
      </c>
      <c r="B119" t="s">
        <v>69</v>
      </c>
      <c r="C119" t="s">
        <v>48</v>
      </c>
      <c r="D119">
        <v>70871</v>
      </c>
    </row>
    <row r="120" spans="1:4" x14ac:dyDescent="0.3">
      <c r="A120" t="s">
        <v>4</v>
      </c>
      <c r="B120" t="s">
        <v>69</v>
      </c>
      <c r="C120" t="s">
        <v>49</v>
      </c>
      <c r="D120">
        <v>158563</v>
      </c>
    </row>
    <row r="121" spans="1:4" x14ac:dyDescent="0.3">
      <c r="A121" t="s">
        <v>4</v>
      </c>
      <c r="B121" t="s">
        <v>69</v>
      </c>
      <c r="C121" t="s">
        <v>50</v>
      </c>
      <c r="D121">
        <v>347254</v>
      </c>
    </row>
    <row r="122" spans="1:4" x14ac:dyDescent="0.3">
      <c r="A122" t="s">
        <v>4</v>
      </c>
      <c r="B122" t="s">
        <v>70</v>
      </c>
      <c r="C122" t="s">
        <v>45</v>
      </c>
      <c r="D122">
        <v>6678744</v>
      </c>
    </row>
    <row r="123" spans="1:4" x14ac:dyDescent="0.3">
      <c r="A123" t="s">
        <v>4</v>
      </c>
      <c r="B123" t="s">
        <v>70</v>
      </c>
      <c r="C123" t="s">
        <v>46</v>
      </c>
      <c r="D123">
        <v>418458</v>
      </c>
    </row>
    <row r="124" spans="1:4" x14ac:dyDescent="0.3">
      <c r="A124" t="s">
        <v>4</v>
      </c>
      <c r="B124" t="s">
        <v>70</v>
      </c>
      <c r="C124" t="s">
        <v>47</v>
      </c>
      <c r="D124">
        <v>5795278</v>
      </c>
    </row>
    <row r="125" spans="1:4" x14ac:dyDescent="0.3">
      <c r="A125" t="s">
        <v>4</v>
      </c>
      <c r="B125" t="s">
        <v>70</v>
      </c>
      <c r="C125" t="s">
        <v>48</v>
      </c>
      <c r="D125">
        <v>59034</v>
      </c>
    </row>
    <row r="126" spans="1:4" x14ac:dyDescent="0.3">
      <c r="A126" t="s">
        <v>4</v>
      </c>
      <c r="B126" t="s">
        <v>70</v>
      </c>
      <c r="C126" t="s">
        <v>49</v>
      </c>
      <c r="D126">
        <v>134221</v>
      </c>
    </row>
    <row r="127" spans="1:4" x14ac:dyDescent="0.3">
      <c r="A127" t="s">
        <v>4</v>
      </c>
      <c r="B127" t="s">
        <v>70</v>
      </c>
      <c r="C127" t="s">
        <v>50</v>
      </c>
      <c r="D127">
        <v>271753</v>
      </c>
    </row>
    <row r="128" spans="1:4" x14ac:dyDescent="0.3">
      <c r="A128" t="s">
        <v>4</v>
      </c>
      <c r="B128" t="s">
        <v>71</v>
      </c>
      <c r="C128" t="s">
        <v>45</v>
      </c>
      <c r="D128">
        <v>9359711</v>
      </c>
    </row>
    <row r="129" spans="1:4" x14ac:dyDescent="0.3">
      <c r="A129" t="s">
        <v>4</v>
      </c>
      <c r="B129" t="s">
        <v>71</v>
      </c>
      <c r="C129" t="s">
        <v>46</v>
      </c>
      <c r="D129">
        <v>637491</v>
      </c>
    </row>
    <row r="130" spans="1:4" x14ac:dyDescent="0.3">
      <c r="A130" t="s">
        <v>4</v>
      </c>
      <c r="B130" t="s">
        <v>71</v>
      </c>
      <c r="C130" t="s">
        <v>47</v>
      </c>
      <c r="D130">
        <v>7960058</v>
      </c>
    </row>
    <row r="131" spans="1:4" x14ac:dyDescent="0.3">
      <c r="A131" t="s">
        <v>4</v>
      </c>
      <c r="B131" t="s">
        <v>71</v>
      </c>
      <c r="C131" t="s">
        <v>48</v>
      </c>
      <c r="D131">
        <v>98536</v>
      </c>
    </row>
    <row r="132" spans="1:4" x14ac:dyDescent="0.3">
      <c r="A132" t="s">
        <v>4</v>
      </c>
      <c r="B132" t="s">
        <v>71</v>
      </c>
      <c r="C132" t="s">
        <v>49</v>
      </c>
      <c r="D132">
        <v>208655</v>
      </c>
    </row>
    <row r="133" spans="1:4" x14ac:dyDescent="0.3">
      <c r="A133" t="s">
        <v>4</v>
      </c>
      <c r="B133" t="s">
        <v>71</v>
      </c>
      <c r="C133" t="s">
        <v>50</v>
      </c>
      <c r="D133">
        <v>454971</v>
      </c>
    </row>
    <row r="134" spans="1:4" x14ac:dyDescent="0.3">
      <c r="A134" t="s">
        <v>4</v>
      </c>
      <c r="B134" t="s">
        <v>72</v>
      </c>
      <c r="C134" t="s">
        <v>45</v>
      </c>
      <c r="D134">
        <v>10524366</v>
      </c>
    </row>
    <row r="135" spans="1:4" x14ac:dyDescent="0.3">
      <c r="A135" t="s">
        <v>4</v>
      </c>
      <c r="B135" t="s">
        <v>72</v>
      </c>
      <c r="C135" t="s">
        <v>46</v>
      </c>
      <c r="D135">
        <v>752138</v>
      </c>
    </row>
    <row r="136" spans="1:4" x14ac:dyDescent="0.3">
      <c r="A136" t="s">
        <v>4</v>
      </c>
      <c r="B136" t="s">
        <v>72</v>
      </c>
      <c r="C136" t="s">
        <v>47</v>
      </c>
      <c r="D136">
        <v>8893941</v>
      </c>
    </row>
    <row r="137" spans="1:4" x14ac:dyDescent="0.3">
      <c r="A137" t="s">
        <v>4</v>
      </c>
      <c r="B137" t="s">
        <v>72</v>
      </c>
      <c r="C137" t="s">
        <v>48</v>
      </c>
      <c r="D137">
        <v>102166</v>
      </c>
    </row>
    <row r="138" spans="1:4" x14ac:dyDescent="0.3">
      <c r="A138" t="s">
        <v>4</v>
      </c>
      <c r="B138" t="s">
        <v>72</v>
      </c>
      <c r="C138" t="s">
        <v>49</v>
      </c>
      <c r="D138">
        <v>244849</v>
      </c>
    </row>
    <row r="139" spans="1:4" x14ac:dyDescent="0.3">
      <c r="A139" t="s">
        <v>4</v>
      </c>
      <c r="B139" t="s">
        <v>72</v>
      </c>
      <c r="C139" t="s">
        <v>50</v>
      </c>
      <c r="D139">
        <v>531272</v>
      </c>
    </row>
    <row r="140" spans="1:4" x14ac:dyDescent="0.3">
      <c r="A140" t="s">
        <v>4</v>
      </c>
      <c r="B140" t="s">
        <v>73</v>
      </c>
      <c r="C140" t="s">
        <v>45</v>
      </c>
      <c r="D140">
        <v>7876478</v>
      </c>
    </row>
    <row r="141" spans="1:4" x14ac:dyDescent="0.3">
      <c r="A141" t="s">
        <v>4</v>
      </c>
      <c r="B141" t="s">
        <v>73</v>
      </c>
      <c r="C141" t="s">
        <v>46</v>
      </c>
      <c r="D141">
        <v>493363</v>
      </c>
    </row>
    <row r="142" spans="1:4" x14ac:dyDescent="0.3">
      <c r="A142" t="s">
        <v>4</v>
      </c>
      <c r="B142" t="s">
        <v>73</v>
      </c>
      <c r="C142" t="s">
        <v>47</v>
      </c>
      <c r="D142">
        <v>6805197</v>
      </c>
    </row>
    <row r="143" spans="1:4" x14ac:dyDescent="0.3">
      <c r="A143" t="s">
        <v>4</v>
      </c>
      <c r="B143" t="s">
        <v>73</v>
      </c>
      <c r="C143" t="s">
        <v>48</v>
      </c>
      <c r="D143">
        <v>75744</v>
      </c>
    </row>
    <row r="144" spans="1:4" x14ac:dyDescent="0.3">
      <c r="A144" t="s">
        <v>4</v>
      </c>
      <c r="B144" t="s">
        <v>73</v>
      </c>
      <c r="C144" t="s">
        <v>49</v>
      </c>
      <c r="D144">
        <v>160780</v>
      </c>
    </row>
    <row r="145" spans="1:4" x14ac:dyDescent="0.3">
      <c r="A145" t="s">
        <v>4</v>
      </c>
      <c r="B145" t="s">
        <v>73</v>
      </c>
      <c r="C145" t="s">
        <v>50</v>
      </c>
      <c r="D145">
        <v>341394</v>
      </c>
    </row>
    <row r="146" spans="1:4" x14ac:dyDescent="0.3">
      <c r="A146" t="s">
        <v>4</v>
      </c>
      <c r="B146" t="s">
        <v>74</v>
      </c>
      <c r="C146" t="s">
        <v>45</v>
      </c>
      <c r="D146">
        <v>6939843</v>
      </c>
    </row>
    <row r="147" spans="1:4" x14ac:dyDescent="0.3">
      <c r="A147" t="s">
        <v>4</v>
      </c>
      <c r="B147" t="s">
        <v>74</v>
      </c>
      <c r="C147" t="s">
        <v>46</v>
      </c>
      <c r="D147">
        <v>428618</v>
      </c>
    </row>
    <row r="148" spans="1:4" x14ac:dyDescent="0.3">
      <c r="A148" t="s">
        <v>4</v>
      </c>
      <c r="B148" t="s">
        <v>74</v>
      </c>
      <c r="C148" t="s">
        <v>47</v>
      </c>
      <c r="D148">
        <v>6037482</v>
      </c>
    </row>
    <row r="149" spans="1:4" x14ac:dyDescent="0.3">
      <c r="A149" t="s">
        <v>4</v>
      </c>
      <c r="B149" t="s">
        <v>74</v>
      </c>
      <c r="C149" t="s">
        <v>48</v>
      </c>
      <c r="D149">
        <v>65439</v>
      </c>
    </row>
    <row r="150" spans="1:4" x14ac:dyDescent="0.3">
      <c r="A150" t="s">
        <v>4</v>
      </c>
      <c r="B150" t="s">
        <v>74</v>
      </c>
      <c r="C150" t="s">
        <v>49</v>
      </c>
      <c r="D150">
        <v>131234</v>
      </c>
    </row>
    <row r="151" spans="1:4" x14ac:dyDescent="0.3">
      <c r="A151" t="s">
        <v>4</v>
      </c>
      <c r="B151" t="s">
        <v>74</v>
      </c>
      <c r="C151" t="s">
        <v>50</v>
      </c>
      <c r="D151">
        <v>277070</v>
      </c>
    </row>
    <row r="152" spans="1:4" x14ac:dyDescent="0.3">
      <c r="A152" t="s">
        <v>4</v>
      </c>
      <c r="B152" t="s">
        <v>75</v>
      </c>
      <c r="C152" t="s">
        <v>45</v>
      </c>
      <c r="D152">
        <v>10031143</v>
      </c>
    </row>
    <row r="153" spans="1:4" x14ac:dyDescent="0.3">
      <c r="A153" t="s">
        <v>4</v>
      </c>
      <c r="B153" t="s">
        <v>75</v>
      </c>
      <c r="C153" t="s">
        <v>46</v>
      </c>
      <c r="D153">
        <v>665643</v>
      </c>
    </row>
    <row r="154" spans="1:4" x14ac:dyDescent="0.3">
      <c r="A154" t="s">
        <v>4</v>
      </c>
      <c r="B154" t="s">
        <v>75</v>
      </c>
      <c r="C154" t="s">
        <v>47</v>
      </c>
      <c r="D154">
        <v>8558244</v>
      </c>
    </row>
    <row r="155" spans="1:4" x14ac:dyDescent="0.3">
      <c r="A155" t="s">
        <v>4</v>
      </c>
      <c r="B155" t="s">
        <v>75</v>
      </c>
      <c r="C155" t="s">
        <v>48</v>
      </c>
      <c r="D155">
        <v>103617</v>
      </c>
    </row>
    <row r="156" spans="1:4" x14ac:dyDescent="0.3">
      <c r="A156" t="s">
        <v>4</v>
      </c>
      <c r="B156" t="s">
        <v>75</v>
      </c>
      <c r="C156" t="s">
        <v>49</v>
      </c>
      <c r="D156">
        <v>217471</v>
      </c>
    </row>
    <row r="157" spans="1:4" x14ac:dyDescent="0.3">
      <c r="A157" t="s">
        <v>4</v>
      </c>
      <c r="B157" t="s">
        <v>75</v>
      </c>
      <c r="C157" t="s">
        <v>50</v>
      </c>
      <c r="D157">
        <v>486168</v>
      </c>
    </row>
    <row r="158" spans="1:4" x14ac:dyDescent="0.3">
      <c r="A158" t="s">
        <v>4</v>
      </c>
      <c r="B158" t="s">
        <v>76</v>
      </c>
      <c r="C158" t="s">
        <v>45</v>
      </c>
      <c r="D158">
        <v>11131101</v>
      </c>
    </row>
    <row r="159" spans="1:4" x14ac:dyDescent="0.3">
      <c r="A159" t="s">
        <v>4</v>
      </c>
      <c r="B159" t="s">
        <v>76</v>
      </c>
      <c r="C159" t="s">
        <v>46</v>
      </c>
      <c r="D159">
        <v>773012</v>
      </c>
    </row>
    <row r="160" spans="1:4" x14ac:dyDescent="0.3">
      <c r="A160" t="s">
        <v>4</v>
      </c>
      <c r="B160" t="s">
        <v>76</v>
      </c>
      <c r="C160" t="s">
        <v>47</v>
      </c>
      <c r="D160">
        <v>9430981</v>
      </c>
    </row>
    <row r="161" spans="1:4" x14ac:dyDescent="0.3">
      <c r="A161" t="s">
        <v>4</v>
      </c>
      <c r="B161" t="s">
        <v>76</v>
      </c>
      <c r="C161" t="s">
        <v>48</v>
      </c>
      <c r="D161">
        <v>114010</v>
      </c>
    </row>
    <row r="162" spans="1:4" x14ac:dyDescent="0.3">
      <c r="A162" t="s">
        <v>4</v>
      </c>
      <c r="B162" t="s">
        <v>76</v>
      </c>
      <c r="C162" t="s">
        <v>49</v>
      </c>
      <c r="D162">
        <v>251687</v>
      </c>
    </row>
    <row r="163" spans="1:4" x14ac:dyDescent="0.3">
      <c r="A163" t="s">
        <v>4</v>
      </c>
      <c r="B163" t="s">
        <v>76</v>
      </c>
      <c r="C163" t="s">
        <v>50</v>
      </c>
      <c r="D163">
        <v>561411</v>
      </c>
    </row>
    <row r="164" spans="1:4" x14ac:dyDescent="0.3">
      <c r="A164" t="s">
        <v>4</v>
      </c>
      <c r="B164" t="s">
        <v>77</v>
      </c>
      <c r="C164" t="s">
        <v>45</v>
      </c>
      <c r="D164">
        <v>8419046</v>
      </c>
    </row>
    <row r="165" spans="1:4" x14ac:dyDescent="0.3">
      <c r="A165" t="s">
        <v>4</v>
      </c>
      <c r="B165" t="s">
        <v>77</v>
      </c>
      <c r="C165" t="s">
        <v>46</v>
      </c>
      <c r="D165">
        <v>520533</v>
      </c>
    </row>
    <row r="166" spans="1:4" x14ac:dyDescent="0.3">
      <c r="A166" t="s">
        <v>4</v>
      </c>
      <c r="B166" t="s">
        <v>77</v>
      </c>
      <c r="C166" t="s">
        <v>47</v>
      </c>
      <c r="D166">
        <v>7292712</v>
      </c>
    </row>
    <row r="167" spans="1:4" x14ac:dyDescent="0.3">
      <c r="A167" t="s">
        <v>4</v>
      </c>
      <c r="B167" t="s">
        <v>77</v>
      </c>
      <c r="C167" t="s">
        <v>48</v>
      </c>
      <c r="D167">
        <v>82273</v>
      </c>
    </row>
    <row r="168" spans="1:4" x14ac:dyDescent="0.3">
      <c r="A168" t="s">
        <v>4</v>
      </c>
      <c r="B168" t="s">
        <v>77</v>
      </c>
      <c r="C168" t="s">
        <v>49</v>
      </c>
      <c r="D168">
        <v>170516</v>
      </c>
    </row>
    <row r="169" spans="1:4" x14ac:dyDescent="0.3">
      <c r="A169" t="s">
        <v>4</v>
      </c>
      <c r="B169" t="s">
        <v>77</v>
      </c>
      <c r="C169" t="s">
        <v>50</v>
      </c>
      <c r="D169">
        <v>353012</v>
      </c>
    </row>
    <row r="170" spans="1:4" x14ac:dyDescent="0.3">
      <c r="A170" t="s">
        <v>4</v>
      </c>
      <c r="B170" t="s">
        <v>78</v>
      </c>
      <c r="C170" t="s">
        <v>45</v>
      </c>
      <c r="D170">
        <v>7435673</v>
      </c>
    </row>
    <row r="171" spans="1:4" x14ac:dyDescent="0.3">
      <c r="A171" t="s">
        <v>4</v>
      </c>
      <c r="B171" t="s">
        <v>78</v>
      </c>
      <c r="C171" t="s">
        <v>46</v>
      </c>
      <c r="D171">
        <v>474297</v>
      </c>
    </row>
    <row r="172" spans="1:4" x14ac:dyDescent="0.3">
      <c r="A172" t="s">
        <v>4</v>
      </c>
      <c r="B172" t="s">
        <v>78</v>
      </c>
      <c r="C172" t="s">
        <v>47</v>
      </c>
      <c r="D172">
        <v>6480314</v>
      </c>
    </row>
    <row r="173" spans="1:4" x14ac:dyDescent="0.3">
      <c r="A173" t="s">
        <v>4</v>
      </c>
      <c r="B173" t="s">
        <v>78</v>
      </c>
      <c r="C173" t="s">
        <v>48</v>
      </c>
      <c r="D173">
        <v>68606</v>
      </c>
    </row>
    <row r="174" spans="1:4" x14ac:dyDescent="0.3">
      <c r="A174" t="s">
        <v>4</v>
      </c>
      <c r="B174" t="s">
        <v>78</v>
      </c>
      <c r="C174" t="s">
        <v>49</v>
      </c>
      <c r="D174">
        <v>142569</v>
      </c>
    </row>
    <row r="175" spans="1:4" x14ac:dyDescent="0.3">
      <c r="A175" t="s">
        <v>4</v>
      </c>
      <c r="B175" t="s">
        <v>78</v>
      </c>
      <c r="C175" t="s">
        <v>50</v>
      </c>
      <c r="D175">
        <v>269887</v>
      </c>
    </row>
    <row r="176" spans="1:4" x14ac:dyDescent="0.3">
      <c r="A176" t="s">
        <v>4</v>
      </c>
      <c r="B176" t="s">
        <v>79</v>
      </c>
      <c r="C176" t="s">
        <v>45</v>
      </c>
      <c r="D176">
        <v>10479523</v>
      </c>
    </row>
    <row r="177" spans="1:4" x14ac:dyDescent="0.3">
      <c r="A177" t="s">
        <v>4</v>
      </c>
      <c r="B177" t="s">
        <v>79</v>
      </c>
      <c r="C177" t="s">
        <v>46</v>
      </c>
      <c r="D177">
        <v>728548</v>
      </c>
    </row>
    <row r="178" spans="1:4" x14ac:dyDescent="0.3">
      <c r="A178" t="s">
        <v>4</v>
      </c>
      <c r="B178" t="s">
        <v>79</v>
      </c>
      <c r="C178" t="s">
        <v>47</v>
      </c>
      <c r="D178">
        <v>8957586</v>
      </c>
    </row>
    <row r="179" spans="1:4" x14ac:dyDescent="0.3">
      <c r="A179" t="s">
        <v>4</v>
      </c>
      <c r="B179" t="s">
        <v>79</v>
      </c>
      <c r="C179" t="s">
        <v>48</v>
      </c>
      <c r="D179">
        <v>102534</v>
      </c>
    </row>
    <row r="180" spans="1:4" x14ac:dyDescent="0.3">
      <c r="A180" t="s">
        <v>4</v>
      </c>
      <c r="B180" t="s">
        <v>79</v>
      </c>
      <c r="C180" t="s">
        <v>49</v>
      </c>
      <c r="D180">
        <v>222433</v>
      </c>
    </row>
    <row r="181" spans="1:4" x14ac:dyDescent="0.3">
      <c r="A181" t="s">
        <v>4</v>
      </c>
      <c r="B181" t="s">
        <v>79</v>
      </c>
      <c r="C181" t="s">
        <v>50</v>
      </c>
      <c r="D181">
        <v>468422</v>
      </c>
    </row>
    <row r="182" spans="1:4" x14ac:dyDescent="0.3">
      <c r="A182" t="s">
        <v>4</v>
      </c>
      <c r="B182" t="s">
        <v>80</v>
      </c>
      <c r="C182" t="s">
        <v>45</v>
      </c>
      <c r="D182">
        <v>11597270</v>
      </c>
    </row>
    <row r="183" spans="1:4" x14ac:dyDescent="0.3">
      <c r="A183" t="s">
        <v>4</v>
      </c>
      <c r="B183" t="s">
        <v>80</v>
      </c>
      <c r="C183" t="s">
        <v>46</v>
      </c>
      <c r="D183">
        <v>832198</v>
      </c>
    </row>
    <row r="184" spans="1:4" x14ac:dyDescent="0.3">
      <c r="A184" t="s">
        <v>4</v>
      </c>
      <c r="B184" t="s">
        <v>80</v>
      </c>
      <c r="C184" t="s">
        <v>47</v>
      </c>
      <c r="D184">
        <v>9852369</v>
      </c>
    </row>
    <row r="185" spans="1:4" x14ac:dyDescent="0.3">
      <c r="A185" t="s">
        <v>4</v>
      </c>
      <c r="B185" t="s">
        <v>80</v>
      </c>
      <c r="C185" t="s">
        <v>48</v>
      </c>
      <c r="D185">
        <v>116018</v>
      </c>
    </row>
    <row r="186" spans="1:4" x14ac:dyDescent="0.3">
      <c r="A186" t="s">
        <v>4</v>
      </c>
      <c r="B186" t="s">
        <v>80</v>
      </c>
      <c r="C186" t="s">
        <v>49</v>
      </c>
      <c r="D186">
        <v>259988</v>
      </c>
    </row>
    <row r="187" spans="1:4" x14ac:dyDescent="0.3">
      <c r="A187" t="s">
        <v>4</v>
      </c>
      <c r="B187" t="s">
        <v>80</v>
      </c>
      <c r="C187" t="s">
        <v>50</v>
      </c>
      <c r="D187">
        <v>536697</v>
      </c>
    </row>
    <row r="188" spans="1:4" x14ac:dyDescent="0.3">
      <c r="A188" t="s">
        <v>4</v>
      </c>
      <c r="B188" t="s">
        <v>81</v>
      </c>
      <c r="C188" t="s">
        <v>45</v>
      </c>
      <c r="D188">
        <v>8540952</v>
      </c>
    </row>
    <row r="189" spans="1:4" x14ac:dyDescent="0.3">
      <c r="A189" t="s">
        <v>4</v>
      </c>
      <c r="B189" t="s">
        <v>81</v>
      </c>
      <c r="C189" t="s">
        <v>46</v>
      </c>
      <c r="D189">
        <v>550423</v>
      </c>
    </row>
    <row r="190" spans="1:4" x14ac:dyDescent="0.3">
      <c r="A190" t="s">
        <v>4</v>
      </c>
      <c r="B190" t="s">
        <v>81</v>
      </c>
      <c r="C190" t="s">
        <v>47</v>
      </c>
      <c r="D190">
        <v>7385982</v>
      </c>
    </row>
    <row r="191" spans="1:4" x14ac:dyDescent="0.3">
      <c r="A191" t="s">
        <v>4</v>
      </c>
      <c r="B191" t="s">
        <v>81</v>
      </c>
      <c r="C191" t="s">
        <v>48</v>
      </c>
      <c r="D191">
        <v>82678</v>
      </c>
    </row>
    <row r="192" spans="1:4" x14ac:dyDescent="0.3">
      <c r="A192" t="s">
        <v>4</v>
      </c>
      <c r="B192" t="s">
        <v>81</v>
      </c>
      <c r="C192" t="s">
        <v>49</v>
      </c>
      <c r="D192">
        <v>180453</v>
      </c>
    </row>
    <row r="193" spans="1:4" x14ac:dyDescent="0.3">
      <c r="A193" t="s">
        <v>4</v>
      </c>
      <c r="B193" t="s">
        <v>81</v>
      </c>
      <c r="C193" t="s">
        <v>50</v>
      </c>
      <c r="D193">
        <v>341416</v>
      </c>
    </row>
    <row r="194" spans="1:4" x14ac:dyDescent="0.3">
      <c r="A194" t="s">
        <v>4</v>
      </c>
      <c r="B194" t="s">
        <v>82</v>
      </c>
      <c r="C194" t="s">
        <v>45</v>
      </c>
      <c r="D194">
        <v>5916477</v>
      </c>
    </row>
    <row r="195" spans="1:4" x14ac:dyDescent="0.3">
      <c r="A195" t="s">
        <v>4</v>
      </c>
      <c r="B195" t="s">
        <v>82</v>
      </c>
      <c r="C195" t="s">
        <v>46</v>
      </c>
      <c r="D195">
        <v>397387</v>
      </c>
    </row>
    <row r="196" spans="1:4" x14ac:dyDescent="0.3">
      <c r="A196" t="s">
        <v>4</v>
      </c>
      <c r="B196" t="s">
        <v>82</v>
      </c>
      <c r="C196" t="s">
        <v>47</v>
      </c>
      <c r="D196">
        <v>5139128</v>
      </c>
    </row>
    <row r="197" spans="1:4" x14ac:dyDescent="0.3">
      <c r="A197" t="s">
        <v>4</v>
      </c>
      <c r="B197" t="s">
        <v>82</v>
      </c>
      <c r="C197" t="s">
        <v>48</v>
      </c>
      <c r="D197">
        <v>55763</v>
      </c>
    </row>
    <row r="198" spans="1:4" x14ac:dyDescent="0.3">
      <c r="A198" t="s">
        <v>4</v>
      </c>
      <c r="B198" t="s">
        <v>82</v>
      </c>
      <c r="C198" t="s">
        <v>49</v>
      </c>
      <c r="D198">
        <v>107971</v>
      </c>
    </row>
    <row r="199" spans="1:4" x14ac:dyDescent="0.3">
      <c r="A199" t="s">
        <v>4</v>
      </c>
      <c r="B199" t="s">
        <v>82</v>
      </c>
      <c r="C199" t="s">
        <v>50</v>
      </c>
      <c r="D199">
        <v>216228</v>
      </c>
    </row>
    <row r="200" spans="1:4" x14ac:dyDescent="0.3">
      <c r="A200" t="s">
        <v>4</v>
      </c>
      <c r="B200" t="s">
        <v>83</v>
      </c>
      <c r="C200" t="s">
        <v>45</v>
      </c>
      <c r="D200">
        <v>164402</v>
      </c>
    </row>
    <row r="201" spans="1:4" x14ac:dyDescent="0.3">
      <c r="A201" t="s">
        <v>4</v>
      </c>
      <c r="B201" t="s">
        <v>83</v>
      </c>
      <c r="C201" t="s">
        <v>46</v>
      </c>
      <c r="D201">
        <v>7879</v>
      </c>
    </row>
    <row r="202" spans="1:4" x14ac:dyDescent="0.3">
      <c r="A202" t="s">
        <v>4</v>
      </c>
      <c r="B202" t="s">
        <v>83</v>
      </c>
      <c r="C202" t="s">
        <v>47</v>
      </c>
      <c r="D202">
        <v>155592</v>
      </c>
    </row>
    <row r="203" spans="1:4" x14ac:dyDescent="0.3">
      <c r="A203" t="s">
        <v>4</v>
      </c>
      <c r="B203" t="s">
        <v>83</v>
      </c>
      <c r="C203" t="s">
        <v>48</v>
      </c>
      <c r="D203">
        <v>808</v>
      </c>
    </row>
    <row r="204" spans="1:4" x14ac:dyDescent="0.3">
      <c r="A204" t="s">
        <v>4</v>
      </c>
      <c r="B204" t="s">
        <v>83</v>
      </c>
      <c r="C204" t="s">
        <v>49</v>
      </c>
      <c r="D204">
        <v>3</v>
      </c>
    </row>
    <row r="205" spans="1:4" x14ac:dyDescent="0.3">
      <c r="A205" t="s">
        <v>4</v>
      </c>
      <c r="B205" t="s">
        <v>83</v>
      </c>
      <c r="C205" t="s">
        <v>50</v>
      </c>
      <c r="D205">
        <v>120</v>
      </c>
    </row>
    <row r="206" spans="1:4" x14ac:dyDescent="0.3">
      <c r="A206" t="s">
        <v>4</v>
      </c>
      <c r="B206" t="s">
        <v>84</v>
      </c>
      <c r="C206" t="s">
        <v>45</v>
      </c>
      <c r="D206">
        <v>1453684</v>
      </c>
    </row>
    <row r="207" spans="1:4" x14ac:dyDescent="0.3">
      <c r="A207" t="s">
        <v>4</v>
      </c>
      <c r="B207" t="s">
        <v>84</v>
      </c>
      <c r="C207" t="s">
        <v>46</v>
      </c>
      <c r="D207">
        <v>90287</v>
      </c>
    </row>
    <row r="208" spans="1:4" x14ac:dyDescent="0.3">
      <c r="A208" t="s">
        <v>4</v>
      </c>
      <c r="B208" t="s">
        <v>84</v>
      </c>
      <c r="C208" t="s">
        <v>47</v>
      </c>
      <c r="D208">
        <v>1270411</v>
      </c>
    </row>
    <row r="209" spans="1:4" x14ac:dyDescent="0.3">
      <c r="A209" t="s">
        <v>4</v>
      </c>
      <c r="B209" t="s">
        <v>84</v>
      </c>
      <c r="C209" t="s">
        <v>48</v>
      </c>
      <c r="D209">
        <v>19968</v>
      </c>
    </row>
    <row r="210" spans="1:4" x14ac:dyDescent="0.3">
      <c r="A210" t="s">
        <v>4</v>
      </c>
      <c r="B210" t="s">
        <v>84</v>
      </c>
      <c r="C210" t="s">
        <v>49</v>
      </c>
      <c r="D210">
        <v>27513</v>
      </c>
    </row>
    <row r="211" spans="1:4" x14ac:dyDescent="0.3">
      <c r="A211" t="s">
        <v>4</v>
      </c>
      <c r="B211" t="s">
        <v>84</v>
      </c>
      <c r="C211" t="s">
        <v>50</v>
      </c>
      <c r="D211">
        <v>45505</v>
      </c>
    </row>
    <row r="212" spans="1:4" x14ac:dyDescent="0.3">
      <c r="A212" t="s">
        <v>4</v>
      </c>
      <c r="B212" t="s">
        <v>85</v>
      </c>
      <c r="C212" t="s">
        <v>45</v>
      </c>
      <c r="D212">
        <v>759119</v>
      </c>
    </row>
    <row r="213" spans="1:4" x14ac:dyDescent="0.3">
      <c r="A213" t="s">
        <v>4</v>
      </c>
      <c r="B213" t="s">
        <v>85</v>
      </c>
      <c r="C213" t="s">
        <v>46</v>
      </c>
      <c r="D213">
        <v>31461</v>
      </c>
    </row>
    <row r="214" spans="1:4" x14ac:dyDescent="0.3">
      <c r="A214" t="s">
        <v>4</v>
      </c>
      <c r="B214" t="s">
        <v>85</v>
      </c>
      <c r="C214" t="s">
        <v>47</v>
      </c>
      <c r="D214">
        <v>702109</v>
      </c>
    </row>
    <row r="215" spans="1:4" x14ac:dyDescent="0.3">
      <c r="A215" t="s">
        <v>4</v>
      </c>
      <c r="B215" t="s">
        <v>85</v>
      </c>
      <c r="C215" t="s">
        <v>48</v>
      </c>
      <c r="D215">
        <v>6420</v>
      </c>
    </row>
    <row r="216" spans="1:4" x14ac:dyDescent="0.3">
      <c r="A216" t="s">
        <v>4</v>
      </c>
      <c r="B216" t="s">
        <v>85</v>
      </c>
      <c r="C216" t="s">
        <v>49</v>
      </c>
      <c r="D216">
        <v>7048</v>
      </c>
    </row>
    <row r="217" spans="1:4" x14ac:dyDescent="0.3">
      <c r="A217" t="s">
        <v>4</v>
      </c>
      <c r="B217" t="s">
        <v>85</v>
      </c>
      <c r="C217" t="s">
        <v>50</v>
      </c>
      <c r="D217">
        <v>12081</v>
      </c>
    </row>
    <row r="218" spans="1:4" x14ac:dyDescent="0.3">
      <c r="A218" t="s">
        <v>4</v>
      </c>
      <c r="B218" t="s">
        <v>86</v>
      </c>
      <c r="C218" t="s">
        <v>45</v>
      </c>
      <c r="D218">
        <v>418969</v>
      </c>
    </row>
    <row r="219" spans="1:4" x14ac:dyDescent="0.3">
      <c r="A219" t="s">
        <v>4</v>
      </c>
      <c r="B219" t="s">
        <v>86</v>
      </c>
      <c r="C219" t="s">
        <v>46</v>
      </c>
      <c r="D219">
        <v>8926</v>
      </c>
    </row>
    <row r="220" spans="1:4" x14ac:dyDescent="0.3">
      <c r="A220" t="s">
        <v>4</v>
      </c>
      <c r="B220" t="s">
        <v>86</v>
      </c>
      <c r="C220" t="s">
        <v>47</v>
      </c>
      <c r="D220">
        <v>405112</v>
      </c>
    </row>
    <row r="221" spans="1:4" x14ac:dyDescent="0.3">
      <c r="A221" t="s">
        <v>4</v>
      </c>
      <c r="B221" t="s">
        <v>86</v>
      </c>
      <c r="C221" t="s">
        <v>48</v>
      </c>
      <c r="D221">
        <v>1988</v>
      </c>
    </row>
    <row r="222" spans="1:4" x14ac:dyDescent="0.3">
      <c r="A222" t="s">
        <v>4</v>
      </c>
      <c r="B222" t="s">
        <v>86</v>
      </c>
      <c r="C222" t="s">
        <v>49</v>
      </c>
      <c r="D222">
        <v>621</v>
      </c>
    </row>
    <row r="223" spans="1:4" x14ac:dyDescent="0.3">
      <c r="A223" t="s">
        <v>4</v>
      </c>
      <c r="B223" t="s">
        <v>86</v>
      </c>
      <c r="C223" t="s">
        <v>50</v>
      </c>
      <c r="D223">
        <v>2322</v>
      </c>
    </row>
    <row r="224" spans="1:4" x14ac:dyDescent="0.3">
      <c r="A224" t="s">
        <v>4</v>
      </c>
      <c r="B224" t="s">
        <v>87</v>
      </c>
      <c r="C224" t="s">
        <v>45</v>
      </c>
      <c r="D224">
        <v>596349</v>
      </c>
    </row>
    <row r="225" spans="1:4" x14ac:dyDescent="0.3">
      <c r="A225" t="s">
        <v>4</v>
      </c>
      <c r="B225" t="s">
        <v>87</v>
      </c>
      <c r="C225" t="s">
        <v>46</v>
      </c>
      <c r="D225">
        <v>24931</v>
      </c>
    </row>
    <row r="226" spans="1:4" x14ac:dyDescent="0.3">
      <c r="A226" t="s">
        <v>4</v>
      </c>
      <c r="B226" t="s">
        <v>87</v>
      </c>
      <c r="C226" t="s">
        <v>47</v>
      </c>
      <c r="D226">
        <v>554749</v>
      </c>
    </row>
    <row r="227" spans="1:4" x14ac:dyDescent="0.3">
      <c r="A227" t="s">
        <v>4</v>
      </c>
      <c r="B227" t="s">
        <v>87</v>
      </c>
      <c r="C227" t="s">
        <v>48</v>
      </c>
      <c r="D227">
        <v>4301</v>
      </c>
    </row>
    <row r="228" spans="1:4" x14ac:dyDescent="0.3">
      <c r="A228" t="s">
        <v>4</v>
      </c>
      <c r="B228" t="s">
        <v>87</v>
      </c>
      <c r="C228" t="s">
        <v>49</v>
      </c>
      <c r="D228">
        <v>2079</v>
      </c>
    </row>
    <row r="229" spans="1:4" x14ac:dyDescent="0.3">
      <c r="A229" t="s">
        <v>4</v>
      </c>
      <c r="B229" t="s">
        <v>87</v>
      </c>
      <c r="C229" t="s">
        <v>50</v>
      </c>
      <c r="D229">
        <v>10289</v>
      </c>
    </row>
    <row r="230" spans="1:4" x14ac:dyDescent="0.3">
      <c r="A230" t="s">
        <v>4</v>
      </c>
      <c r="B230" t="s">
        <v>88</v>
      </c>
      <c r="C230" t="s">
        <v>45</v>
      </c>
      <c r="D230">
        <v>3576508</v>
      </c>
    </row>
    <row r="231" spans="1:4" x14ac:dyDescent="0.3">
      <c r="A231" t="s">
        <v>4</v>
      </c>
      <c r="B231" t="s">
        <v>88</v>
      </c>
      <c r="C231" t="s">
        <v>46</v>
      </c>
      <c r="D231">
        <v>133809</v>
      </c>
    </row>
    <row r="232" spans="1:4" x14ac:dyDescent="0.3">
      <c r="A232" t="s">
        <v>4</v>
      </c>
      <c r="B232" t="s">
        <v>88</v>
      </c>
      <c r="C232" t="s">
        <v>47</v>
      </c>
      <c r="D232">
        <v>3202834</v>
      </c>
    </row>
    <row r="233" spans="1:4" x14ac:dyDescent="0.3">
      <c r="A233" t="s">
        <v>4</v>
      </c>
      <c r="B233" t="s">
        <v>88</v>
      </c>
      <c r="C233" t="s">
        <v>48</v>
      </c>
      <c r="D233">
        <v>45426</v>
      </c>
    </row>
    <row r="234" spans="1:4" x14ac:dyDescent="0.3">
      <c r="A234" t="s">
        <v>4</v>
      </c>
      <c r="B234" t="s">
        <v>88</v>
      </c>
      <c r="C234" t="s">
        <v>49</v>
      </c>
      <c r="D234">
        <v>69145</v>
      </c>
    </row>
    <row r="235" spans="1:4" x14ac:dyDescent="0.3">
      <c r="A235" t="s">
        <v>4</v>
      </c>
      <c r="B235" t="s">
        <v>88</v>
      </c>
      <c r="C235" t="s">
        <v>50</v>
      </c>
      <c r="D235">
        <v>125294</v>
      </c>
    </row>
    <row r="236" spans="1:4" x14ac:dyDescent="0.3">
      <c r="A236" t="s">
        <v>4</v>
      </c>
      <c r="B236" t="s">
        <v>89</v>
      </c>
      <c r="C236" t="s">
        <v>45</v>
      </c>
      <c r="D236">
        <v>4541051</v>
      </c>
    </row>
    <row r="237" spans="1:4" x14ac:dyDescent="0.3">
      <c r="A237" t="s">
        <v>4</v>
      </c>
      <c r="B237" t="s">
        <v>89</v>
      </c>
      <c r="C237" t="s">
        <v>46</v>
      </c>
      <c r="D237">
        <v>87349</v>
      </c>
    </row>
    <row r="238" spans="1:4" x14ac:dyDescent="0.3">
      <c r="A238" t="s">
        <v>4</v>
      </c>
      <c r="B238" t="s">
        <v>89</v>
      </c>
      <c r="C238" t="s">
        <v>47</v>
      </c>
      <c r="D238">
        <v>4103576</v>
      </c>
    </row>
    <row r="239" spans="1:4" x14ac:dyDescent="0.3">
      <c r="A239" t="s">
        <v>4</v>
      </c>
      <c r="B239" t="s">
        <v>89</v>
      </c>
      <c r="C239" t="s">
        <v>48</v>
      </c>
      <c r="D239">
        <v>63683</v>
      </c>
    </row>
    <row r="240" spans="1:4" x14ac:dyDescent="0.3">
      <c r="A240" t="s">
        <v>4</v>
      </c>
      <c r="B240" t="s">
        <v>89</v>
      </c>
      <c r="C240" t="s">
        <v>49</v>
      </c>
      <c r="D240">
        <v>102186</v>
      </c>
    </row>
    <row r="241" spans="1:4" x14ac:dyDescent="0.3">
      <c r="A241" t="s">
        <v>4</v>
      </c>
      <c r="B241" t="s">
        <v>89</v>
      </c>
      <c r="C241" t="s">
        <v>50</v>
      </c>
      <c r="D241">
        <v>184257</v>
      </c>
    </row>
    <row r="242" spans="1:4" x14ac:dyDescent="0.3">
      <c r="A242" t="s">
        <v>4</v>
      </c>
      <c r="B242" t="s">
        <v>90</v>
      </c>
      <c r="C242" t="s">
        <v>45</v>
      </c>
      <c r="D242">
        <v>4700322</v>
      </c>
    </row>
    <row r="243" spans="1:4" x14ac:dyDescent="0.3">
      <c r="A243" t="s">
        <v>4</v>
      </c>
      <c r="B243" t="s">
        <v>90</v>
      </c>
      <c r="C243" t="s">
        <v>46</v>
      </c>
      <c r="D243">
        <v>288323</v>
      </c>
    </row>
    <row r="244" spans="1:4" x14ac:dyDescent="0.3">
      <c r="A244" t="s">
        <v>4</v>
      </c>
      <c r="B244" t="s">
        <v>90</v>
      </c>
      <c r="C244" t="s">
        <v>47</v>
      </c>
      <c r="D244">
        <v>4099571</v>
      </c>
    </row>
    <row r="245" spans="1:4" x14ac:dyDescent="0.3">
      <c r="A245" t="s">
        <v>4</v>
      </c>
      <c r="B245" t="s">
        <v>90</v>
      </c>
      <c r="C245" t="s">
        <v>48</v>
      </c>
      <c r="D245">
        <v>44836</v>
      </c>
    </row>
    <row r="246" spans="1:4" x14ac:dyDescent="0.3">
      <c r="A246" t="s">
        <v>4</v>
      </c>
      <c r="B246" t="s">
        <v>90</v>
      </c>
      <c r="C246" t="s">
        <v>49</v>
      </c>
      <c r="D246">
        <v>86381</v>
      </c>
    </row>
    <row r="247" spans="1:4" x14ac:dyDescent="0.3">
      <c r="A247" t="s">
        <v>4</v>
      </c>
      <c r="B247" t="s">
        <v>90</v>
      </c>
      <c r="C247" t="s">
        <v>50</v>
      </c>
      <c r="D247">
        <v>181211</v>
      </c>
    </row>
    <row r="248" spans="1:4" x14ac:dyDescent="0.3">
      <c r="A248" t="s">
        <v>4</v>
      </c>
      <c r="B248" t="s">
        <v>91</v>
      </c>
      <c r="C248" t="s">
        <v>45</v>
      </c>
      <c r="D248">
        <v>9134970</v>
      </c>
    </row>
    <row r="249" spans="1:4" x14ac:dyDescent="0.3">
      <c r="A249" t="s">
        <v>4</v>
      </c>
      <c r="B249" t="s">
        <v>91</v>
      </c>
      <c r="C249" t="s">
        <v>46</v>
      </c>
      <c r="D249">
        <v>645215</v>
      </c>
    </row>
    <row r="250" spans="1:4" x14ac:dyDescent="0.3">
      <c r="A250" t="s">
        <v>4</v>
      </c>
      <c r="B250" t="s">
        <v>91</v>
      </c>
      <c r="C250" t="s">
        <v>47</v>
      </c>
      <c r="D250">
        <v>7779695</v>
      </c>
    </row>
    <row r="251" spans="1:4" x14ac:dyDescent="0.3">
      <c r="A251" t="s">
        <v>4</v>
      </c>
      <c r="B251" t="s">
        <v>91</v>
      </c>
      <c r="C251" t="s">
        <v>48</v>
      </c>
      <c r="D251">
        <v>102093</v>
      </c>
    </row>
    <row r="252" spans="1:4" x14ac:dyDescent="0.3">
      <c r="A252" t="s">
        <v>4</v>
      </c>
      <c r="B252" t="s">
        <v>91</v>
      </c>
      <c r="C252" t="s">
        <v>49</v>
      </c>
      <c r="D252">
        <v>200028</v>
      </c>
    </row>
    <row r="253" spans="1:4" x14ac:dyDescent="0.3">
      <c r="A253" t="s">
        <v>4</v>
      </c>
      <c r="B253" t="s">
        <v>91</v>
      </c>
      <c r="C253" t="s">
        <v>50</v>
      </c>
      <c r="D253">
        <v>407939</v>
      </c>
    </row>
    <row r="254" spans="1:4" x14ac:dyDescent="0.3">
      <c r="A254" t="s">
        <v>4</v>
      </c>
      <c r="B254" t="s">
        <v>92</v>
      </c>
      <c r="C254" t="s">
        <v>45</v>
      </c>
      <c r="D254">
        <v>10444239</v>
      </c>
    </row>
    <row r="255" spans="1:4" x14ac:dyDescent="0.3">
      <c r="A255" t="s">
        <v>4</v>
      </c>
      <c r="B255" t="s">
        <v>92</v>
      </c>
      <c r="C255" t="s">
        <v>46</v>
      </c>
      <c r="D255">
        <v>767806</v>
      </c>
    </row>
    <row r="256" spans="1:4" x14ac:dyDescent="0.3">
      <c r="A256" t="s">
        <v>4</v>
      </c>
      <c r="B256" t="s">
        <v>92</v>
      </c>
      <c r="C256" t="s">
        <v>47</v>
      </c>
      <c r="D256">
        <v>8840733</v>
      </c>
    </row>
    <row r="257" spans="1:4" x14ac:dyDescent="0.3">
      <c r="A257" t="s">
        <v>4</v>
      </c>
      <c r="B257" t="s">
        <v>92</v>
      </c>
      <c r="C257" t="s">
        <v>48</v>
      </c>
      <c r="D257">
        <v>118069</v>
      </c>
    </row>
    <row r="258" spans="1:4" x14ac:dyDescent="0.3">
      <c r="A258" t="s">
        <v>4</v>
      </c>
      <c r="B258" t="s">
        <v>92</v>
      </c>
      <c r="C258" t="s">
        <v>49</v>
      </c>
      <c r="D258">
        <v>252595</v>
      </c>
    </row>
    <row r="259" spans="1:4" x14ac:dyDescent="0.3">
      <c r="A259" t="s">
        <v>4</v>
      </c>
      <c r="B259" t="s">
        <v>92</v>
      </c>
      <c r="C259" t="s">
        <v>50</v>
      </c>
      <c r="D259">
        <v>465036</v>
      </c>
    </row>
    <row r="260" spans="1:4" x14ac:dyDescent="0.3">
      <c r="A260" t="s">
        <v>4</v>
      </c>
      <c r="B260" t="s">
        <v>93</v>
      </c>
      <c r="C260" t="s">
        <v>45</v>
      </c>
      <c r="D260">
        <v>8238809</v>
      </c>
    </row>
    <row r="261" spans="1:4" x14ac:dyDescent="0.3">
      <c r="A261" t="s">
        <v>4</v>
      </c>
      <c r="B261" t="s">
        <v>93</v>
      </c>
      <c r="C261" t="s">
        <v>46</v>
      </c>
      <c r="D261">
        <v>537111</v>
      </c>
    </row>
    <row r="262" spans="1:4" x14ac:dyDescent="0.3">
      <c r="A262" t="s">
        <v>4</v>
      </c>
      <c r="B262" t="s">
        <v>93</v>
      </c>
      <c r="C262" t="s">
        <v>47</v>
      </c>
      <c r="D262">
        <v>7073346</v>
      </c>
    </row>
    <row r="263" spans="1:4" x14ac:dyDescent="0.3">
      <c r="A263" t="s">
        <v>4</v>
      </c>
      <c r="B263" t="s">
        <v>93</v>
      </c>
      <c r="C263" t="s">
        <v>48</v>
      </c>
      <c r="D263">
        <v>90045</v>
      </c>
    </row>
    <row r="264" spans="1:4" x14ac:dyDescent="0.3">
      <c r="A264" t="s">
        <v>4</v>
      </c>
      <c r="B264" t="s">
        <v>93</v>
      </c>
      <c r="C264" t="s">
        <v>49</v>
      </c>
      <c r="D264">
        <v>170536</v>
      </c>
    </row>
    <row r="265" spans="1:4" x14ac:dyDescent="0.3">
      <c r="A265" t="s">
        <v>4</v>
      </c>
      <c r="B265" t="s">
        <v>93</v>
      </c>
      <c r="C265" t="s">
        <v>50</v>
      </c>
      <c r="D265">
        <v>367771</v>
      </c>
    </row>
    <row r="266" spans="1:4" x14ac:dyDescent="0.3">
      <c r="A266" t="s">
        <v>4</v>
      </c>
      <c r="B266" t="s">
        <v>94</v>
      </c>
      <c r="C266" t="s">
        <v>45</v>
      </c>
      <c r="D266">
        <v>7622484</v>
      </c>
    </row>
    <row r="267" spans="1:4" x14ac:dyDescent="0.3">
      <c r="A267" t="s">
        <v>4</v>
      </c>
      <c r="B267" t="s">
        <v>94</v>
      </c>
      <c r="C267" t="s">
        <v>46</v>
      </c>
      <c r="D267">
        <v>499021</v>
      </c>
    </row>
    <row r="268" spans="1:4" x14ac:dyDescent="0.3">
      <c r="A268" t="s">
        <v>4</v>
      </c>
      <c r="B268" t="s">
        <v>94</v>
      </c>
      <c r="C268" t="s">
        <v>47</v>
      </c>
      <c r="D268">
        <v>6589966</v>
      </c>
    </row>
    <row r="269" spans="1:4" x14ac:dyDescent="0.3">
      <c r="A269" t="s">
        <v>4</v>
      </c>
      <c r="B269" t="s">
        <v>94</v>
      </c>
      <c r="C269" t="s">
        <v>48</v>
      </c>
      <c r="D269">
        <v>72347</v>
      </c>
    </row>
    <row r="270" spans="1:4" x14ac:dyDescent="0.3">
      <c r="A270" t="s">
        <v>4</v>
      </c>
      <c r="B270" t="s">
        <v>94</v>
      </c>
      <c r="C270" t="s">
        <v>49</v>
      </c>
      <c r="D270">
        <v>132657</v>
      </c>
    </row>
    <row r="271" spans="1:4" x14ac:dyDescent="0.3">
      <c r="A271" t="s">
        <v>4</v>
      </c>
      <c r="B271" t="s">
        <v>94</v>
      </c>
      <c r="C271" t="s">
        <v>50</v>
      </c>
      <c r="D271">
        <v>328493</v>
      </c>
    </row>
    <row r="272" spans="1:4" x14ac:dyDescent="0.3">
      <c r="A272" t="s">
        <v>4</v>
      </c>
      <c r="B272" t="s">
        <v>95</v>
      </c>
      <c r="C272" t="s">
        <v>45</v>
      </c>
      <c r="D272">
        <v>10744701</v>
      </c>
    </row>
    <row r="273" spans="1:4" x14ac:dyDescent="0.3">
      <c r="A273" t="s">
        <v>4</v>
      </c>
      <c r="B273" t="s">
        <v>95</v>
      </c>
      <c r="C273" t="s">
        <v>46</v>
      </c>
      <c r="D273">
        <v>791720</v>
      </c>
    </row>
    <row r="274" spans="1:4" x14ac:dyDescent="0.3">
      <c r="A274" t="s">
        <v>4</v>
      </c>
      <c r="B274" t="s">
        <v>95</v>
      </c>
      <c r="C274" t="s">
        <v>47</v>
      </c>
      <c r="D274">
        <v>9058940</v>
      </c>
    </row>
    <row r="275" spans="1:4" x14ac:dyDescent="0.3">
      <c r="A275" t="s">
        <v>4</v>
      </c>
      <c r="B275" t="s">
        <v>95</v>
      </c>
      <c r="C275" t="s">
        <v>48</v>
      </c>
      <c r="D275">
        <v>117608</v>
      </c>
    </row>
    <row r="276" spans="1:4" x14ac:dyDescent="0.3">
      <c r="A276" t="s">
        <v>4</v>
      </c>
      <c r="B276" t="s">
        <v>95</v>
      </c>
      <c r="C276" t="s">
        <v>49</v>
      </c>
      <c r="D276">
        <v>230010</v>
      </c>
    </row>
    <row r="277" spans="1:4" x14ac:dyDescent="0.3">
      <c r="A277" t="s">
        <v>4</v>
      </c>
      <c r="B277" t="s">
        <v>95</v>
      </c>
      <c r="C277" t="s">
        <v>50</v>
      </c>
      <c r="D277">
        <v>546423</v>
      </c>
    </row>
    <row r="278" spans="1:4" x14ac:dyDescent="0.3">
      <c r="A278" t="s">
        <v>4</v>
      </c>
      <c r="B278" t="s">
        <v>96</v>
      </c>
      <c r="C278" t="s">
        <v>45</v>
      </c>
      <c r="D278">
        <v>11799615</v>
      </c>
    </row>
    <row r="279" spans="1:4" x14ac:dyDescent="0.3">
      <c r="A279" t="s">
        <v>4</v>
      </c>
      <c r="B279" t="s">
        <v>96</v>
      </c>
      <c r="C279" t="s">
        <v>46</v>
      </c>
      <c r="D279">
        <v>866942</v>
      </c>
    </row>
    <row r="280" spans="1:4" x14ac:dyDescent="0.3">
      <c r="A280" t="s">
        <v>4</v>
      </c>
      <c r="B280" t="s">
        <v>96</v>
      </c>
      <c r="C280" t="s">
        <v>47</v>
      </c>
      <c r="D280">
        <v>9929211</v>
      </c>
    </row>
    <row r="281" spans="1:4" x14ac:dyDescent="0.3">
      <c r="A281" t="s">
        <v>4</v>
      </c>
      <c r="B281" t="s">
        <v>96</v>
      </c>
      <c r="C281" t="s">
        <v>48</v>
      </c>
      <c r="D281">
        <v>133729</v>
      </c>
    </row>
    <row r="282" spans="1:4" x14ac:dyDescent="0.3">
      <c r="A282" t="s">
        <v>4</v>
      </c>
      <c r="B282" t="s">
        <v>96</v>
      </c>
      <c r="C282" t="s">
        <v>49</v>
      </c>
      <c r="D282">
        <v>268345</v>
      </c>
    </row>
    <row r="283" spans="1:4" x14ac:dyDescent="0.3">
      <c r="A283" t="s">
        <v>4</v>
      </c>
      <c r="B283" t="s">
        <v>96</v>
      </c>
      <c r="C283" t="s">
        <v>50</v>
      </c>
      <c r="D283">
        <v>601388</v>
      </c>
    </row>
    <row r="284" spans="1:4" x14ac:dyDescent="0.3">
      <c r="A284" t="s">
        <v>4</v>
      </c>
      <c r="B284" t="s">
        <v>97</v>
      </c>
      <c r="C284" t="s">
        <v>45</v>
      </c>
      <c r="D284">
        <v>9019601</v>
      </c>
    </row>
    <row r="285" spans="1:4" x14ac:dyDescent="0.3">
      <c r="A285" t="s">
        <v>4</v>
      </c>
      <c r="B285" t="s">
        <v>97</v>
      </c>
      <c r="C285" t="s">
        <v>46</v>
      </c>
      <c r="D285">
        <v>640341</v>
      </c>
    </row>
    <row r="286" spans="1:4" x14ac:dyDescent="0.3">
      <c r="A286" t="s">
        <v>4</v>
      </c>
      <c r="B286" t="s">
        <v>97</v>
      </c>
      <c r="C286" t="s">
        <v>47</v>
      </c>
      <c r="D286">
        <v>7684824</v>
      </c>
    </row>
    <row r="287" spans="1:4" x14ac:dyDescent="0.3">
      <c r="A287" t="s">
        <v>4</v>
      </c>
      <c r="B287" t="s">
        <v>97</v>
      </c>
      <c r="C287" t="s">
        <v>48</v>
      </c>
      <c r="D287">
        <v>90887</v>
      </c>
    </row>
    <row r="288" spans="1:4" x14ac:dyDescent="0.3">
      <c r="A288" t="s">
        <v>4</v>
      </c>
      <c r="B288" t="s">
        <v>97</v>
      </c>
      <c r="C288" t="s">
        <v>49</v>
      </c>
      <c r="D288">
        <v>182254</v>
      </c>
    </row>
    <row r="289" spans="1:4" x14ac:dyDescent="0.3">
      <c r="A289" t="s">
        <v>4</v>
      </c>
      <c r="B289" t="s">
        <v>97</v>
      </c>
      <c r="C289" t="s">
        <v>50</v>
      </c>
      <c r="D289">
        <v>421295</v>
      </c>
    </row>
    <row r="290" spans="1:4" x14ac:dyDescent="0.3">
      <c r="A290" t="s">
        <v>4</v>
      </c>
      <c r="B290" t="s">
        <v>98</v>
      </c>
      <c r="C290" t="s">
        <v>45</v>
      </c>
      <c r="D290">
        <v>8227159</v>
      </c>
    </row>
    <row r="291" spans="1:4" x14ac:dyDescent="0.3">
      <c r="A291" t="s">
        <v>4</v>
      </c>
      <c r="B291" t="s">
        <v>98</v>
      </c>
      <c r="C291" t="s">
        <v>46</v>
      </c>
      <c r="D291">
        <v>601989</v>
      </c>
    </row>
    <row r="292" spans="1:4" x14ac:dyDescent="0.3">
      <c r="A292" t="s">
        <v>4</v>
      </c>
      <c r="B292" t="s">
        <v>98</v>
      </c>
      <c r="C292" t="s">
        <v>47</v>
      </c>
      <c r="D292">
        <v>7025552</v>
      </c>
    </row>
    <row r="293" spans="1:4" x14ac:dyDescent="0.3">
      <c r="A293" t="s">
        <v>4</v>
      </c>
      <c r="B293" t="s">
        <v>98</v>
      </c>
      <c r="C293" t="s">
        <v>48</v>
      </c>
      <c r="D293">
        <v>71277</v>
      </c>
    </row>
    <row r="294" spans="1:4" x14ac:dyDescent="0.3">
      <c r="A294" t="s">
        <v>4</v>
      </c>
      <c r="B294" t="s">
        <v>98</v>
      </c>
      <c r="C294" t="s">
        <v>49</v>
      </c>
      <c r="D294">
        <v>158595</v>
      </c>
    </row>
    <row r="295" spans="1:4" x14ac:dyDescent="0.3">
      <c r="A295" t="s">
        <v>4</v>
      </c>
      <c r="B295" t="s">
        <v>98</v>
      </c>
      <c r="C295" t="s">
        <v>50</v>
      </c>
      <c r="D295">
        <v>369746</v>
      </c>
    </row>
    <row r="296" spans="1:4" x14ac:dyDescent="0.3">
      <c r="A296" t="s">
        <v>4</v>
      </c>
      <c r="B296" t="s">
        <v>99</v>
      </c>
      <c r="C296" t="s">
        <v>45</v>
      </c>
      <c r="D296">
        <v>11231664</v>
      </c>
    </row>
    <row r="297" spans="1:4" x14ac:dyDescent="0.3">
      <c r="A297" t="s">
        <v>4</v>
      </c>
      <c r="B297" t="s">
        <v>99</v>
      </c>
      <c r="C297" t="s">
        <v>46</v>
      </c>
      <c r="D297">
        <v>832446</v>
      </c>
    </row>
    <row r="298" spans="1:4" x14ac:dyDescent="0.3">
      <c r="A298" t="s">
        <v>4</v>
      </c>
      <c r="B298" t="s">
        <v>99</v>
      </c>
      <c r="C298" t="s">
        <v>47</v>
      </c>
      <c r="D298">
        <v>9479228</v>
      </c>
    </row>
    <row r="299" spans="1:4" x14ac:dyDescent="0.3">
      <c r="A299" t="s">
        <v>4</v>
      </c>
      <c r="B299" t="s">
        <v>99</v>
      </c>
      <c r="C299" t="s">
        <v>48</v>
      </c>
      <c r="D299">
        <v>113094</v>
      </c>
    </row>
    <row r="300" spans="1:4" x14ac:dyDescent="0.3">
      <c r="A300" t="s">
        <v>4</v>
      </c>
      <c r="B300" t="s">
        <v>99</v>
      </c>
      <c r="C300" t="s">
        <v>49</v>
      </c>
      <c r="D300">
        <v>230783</v>
      </c>
    </row>
    <row r="301" spans="1:4" x14ac:dyDescent="0.3">
      <c r="A301" t="s">
        <v>4</v>
      </c>
      <c r="B301" t="s">
        <v>99</v>
      </c>
      <c r="C301" t="s">
        <v>50</v>
      </c>
      <c r="D301">
        <v>576113</v>
      </c>
    </row>
    <row r="302" spans="1:4" x14ac:dyDescent="0.3">
      <c r="A302" t="s">
        <v>4</v>
      </c>
      <c r="B302" t="s">
        <v>100</v>
      </c>
      <c r="C302" t="s">
        <v>45</v>
      </c>
      <c r="D302">
        <v>12364310</v>
      </c>
    </row>
    <row r="303" spans="1:4" x14ac:dyDescent="0.3">
      <c r="A303" t="s">
        <v>4</v>
      </c>
      <c r="B303" t="s">
        <v>100</v>
      </c>
      <c r="C303" t="s">
        <v>46</v>
      </c>
      <c r="D303">
        <v>963202</v>
      </c>
    </row>
    <row r="304" spans="1:4" x14ac:dyDescent="0.3">
      <c r="A304" t="s">
        <v>4</v>
      </c>
      <c r="B304" t="s">
        <v>100</v>
      </c>
      <c r="C304" t="s">
        <v>47</v>
      </c>
      <c r="D304">
        <v>10369522</v>
      </c>
    </row>
    <row r="305" spans="1:4" x14ac:dyDescent="0.3">
      <c r="A305" t="s">
        <v>4</v>
      </c>
      <c r="B305" t="s">
        <v>100</v>
      </c>
      <c r="C305" t="s">
        <v>48</v>
      </c>
      <c r="D305">
        <v>135505</v>
      </c>
    </row>
    <row r="306" spans="1:4" x14ac:dyDescent="0.3">
      <c r="A306" t="s">
        <v>4</v>
      </c>
      <c r="B306" t="s">
        <v>100</v>
      </c>
      <c r="C306" t="s">
        <v>49</v>
      </c>
      <c r="D306">
        <v>253641</v>
      </c>
    </row>
    <row r="307" spans="1:4" x14ac:dyDescent="0.3">
      <c r="A307" t="s">
        <v>4</v>
      </c>
      <c r="B307" t="s">
        <v>100</v>
      </c>
      <c r="C307" t="s">
        <v>50</v>
      </c>
      <c r="D307">
        <v>642440</v>
      </c>
    </row>
    <row r="308" spans="1:4" x14ac:dyDescent="0.3">
      <c r="A308" t="s">
        <v>4</v>
      </c>
      <c r="B308" t="s">
        <v>101</v>
      </c>
      <c r="C308" t="s">
        <v>45</v>
      </c>
      <c r="D308">
        <v>9164632</v>
      </c>
    </row>
    <row r="309" spans="1:4" x14ac:dyDescent="0.3">
      <c r="A309" t="s">
        <v>4</v>
      </c>
      <c r="B309" t="s">
        <v>101</v>
      </c>
      <c r="C309" t="s">
        <v>46</v>
      </c>
      <c r="D309">
        <v>670812</v>
      </c>
    </row>
    <row r="310" spans="1:4" x14ac:dyDescent="0.3">
      <c r="A310" t="s">
        <v>4</v>
      </c>
      <c r="B310" t="s">
        <v>101</v>
      </c>
      <c r="C310" t="s">
        <v>47</v>
      </c>
      <c r="D310">
        <v>7748958</v>
      </c>
    </row>
    <row r="311" spans="1:4" x14ac:dyDescent="0.3">
      <c r="A311" t="s">
        <v>4</v>
      </c>
      <c r="B311" t="s">
        <v>101</v>
      </c>
      <c r="C311" t="s">
        <v>48</v>
      </c>
      <c r="D311">
        <v>92158</v>
      </c>
    </row>
    <row r="312" spans="1:4" x14ac:dyDescent="0.3">
      <c r="A312" t="s">
        <v>4</v>
      </c>
      <c r="B312" t="s">
        <v>101</v>
      </c>
      <c r="C312" t="s">
        <v>49</v>
      </c>
      <c r="D312">
        <v>190172</v>
      </c>
    </row>
    <row r="313" spans="1:4" x14ac:dyDescent="0.3">
      <c r="A313" t="s">
        <v>4</v>
      </c>
      <c r="B313" t="s">
        <v>101</v>
      </c>
      <c r="C313" t="s">
        <v>50</v>
      </c>
      <c r="D313">
        <v>462532</v>
      </c>
    </row>
    <row r="314" spans="1:4" x14ac:dyDescent="0.3">
      <c r="A314" t="s">
        <v>4</v>
      </c>
      <c r="B314" t="s">
        <v>102</v>
      </c>
      <c r="C314" t="s">
        <v>45</v>
      </c>
      <c r="D314">
        <v>8207430</v>
      </c>
    </row>
    <row r="315" spans="1:4" x14ac:dyDescent="0.3">
      <c r="A315" t="s">
        <v>4</v>
      </c>
      <c r="B315" t="s">
        <v>102</v>
      </c>
      <c r="C315" t="s">
        <v>46</v>
      </c>
      <c r="D315">
        <v>648356</v>
      </c>
    </row>
    <row r="316" spans="1:4" x14ac:dyDescent="0.3">
      <c r="A316" t="s">
        <v>4</v>
      </c>
      <c r="B316" t="s">
        <v>102</v>
      </c>
      <c r="C316" t="s">
        <v>47</v>
      </c>
      <c r="D316">
        <v>6933757</v>
      </c>
    </row>
    <row r="317" spans="1:4" x14ac:dyDescent="0.3">
      <c r="A317" t="s">
        <v>4</v>
      </c>
      <c r="B317" t="s">
        <v>102</v>
      </c>
      <c r="C317" t="s">
        <v>48</v>
      </c>
      <c r="D317">
        <v>72175</v>
      </c>
    </row>
    <row r="318" spans="1:4" x14ac:dyDescent="0.3">
      <c r="A318" t="s">
        <v>4</v>
      </c>
      <c r="B318" t="s">
        <v>102</v>
      </c>
      <c r="C318" t="s">
        <v>49</v>
      </c>
      <c r="D318">
        <v>168444</v>
      </c>
    </row>
    <row r="319" spans="1:4" x14ac:dyDescent="0.3">
      <c r="A319" t="s">
        <v>4</v>
      </c>
      <c r="B319" t="s">
        <v>102</v>
      </c>
      <c r="C319" t="s">
        <v>50</v>
      </c>
      <c r="D319">
        <v>384698</v>
      </c>
    </row>
    <row r="320" spans="1:4" x14ac:dyDescent="0.3">
      <c r="A320" t="s">
        <v>4</v>
      </c>
      <c r="B320" t="s">
        <v>103</v>
      </c>
      <c r="C320" t="s">
        <v>45</v>
      </c>
      <c r="D320">
        <v>12042620</v>
      </c>
    </row>
    <row r="321" spans="1:4" x14ac:dyDescent="0.3">
      <c r="A321" t="s">
        <v>4</v>
      </c>
      <c r="B321" t="s">
        <v>103</v>
      </c>
      <c r="C321" t="s">
        <v>46</v>
      </c>
      <c r="D321">
        <v>993437</v>
      </c>
    </row>
    <row r="322" spans="1:4" x14ac:dyDescent="0.3">
      <c r="A322" t="s">
        <v>4</v>
      </c>
      <c r="B322" t="s">
        <v>103</v>
      </c>
      <c r="C322" t="s">
        <v>47</v>
      </c>
      <c r="D322">
        <v>10017651</v>
      </c>
    </row>
    <row r="323" spans="1:4" x14ac:dyDescent="0.3">
      <c r="A323" t="s">
        <v>4</v>
      </c>
      <c r="B323" t="s">
        <v>103</v>
      </c>
      <c r="C323" t="s">
        <v>48</v>
      </c>
      <c r="D323">
        <v>126964</v>
      </c>
    </row>
    <row r="324" spans="1:4" x14ac:dyDescent="0.3">
      <c r="A324" t="s">
        <v>4</v>
      </c>
      <c r="B324" t="s">
        <v>103</v>
      </c>
      <c r="C324" t="s">
        <v>49</v>
      </c>
      <c r="D324">
        <v>271057</v>
      </c>
    </row>
    <row r="325" spans="1:4" x14ac:dyDescent="0.3">
      <c r="A325" t="s">
        <v>4</v>
      </c>
      <c r="B325" t="s">
        <v>103</v>
      </c>
      <c r="C325" t="s">
        <v>50</v>
      </c>
      <c r="D325">
        <v>633511</v>
      </c>
    </row>
  </sheetData>
  <pageMargins left="0.75" right="0.75" top="0.75" bottom="0.5" header="0.5" footer="0.7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29929-8B9A-4384-AF24-3D801F10A3F7}">
  <dimension ref="A1:F160"/>
  <sheetViews>
    <sheetView zoomScaleNormal="100" workbookViewId="0">
      <selection activeCell="H6" sqref="H6"/>
    </sheetView>
  </sheetViews>
  <sheetFormatPr defaultRowHeight="14.4" x14ac:dyDescent="0.3"/>
  <cols>
    <col min="2" max="2" width="16.109375" bestFit="1" customWidth="1"/>
    <col min="5" max="5" width="12.5546875" bestFit="1" customWidth="1"/>
  </cols>
  <sheetData>
    <row r="1" spans="1:6" x14ac:dyDescent="0.3">
      <c r="A1" s="6" t="s">
        <v>105</v>
      </c>
      <c r="B1" s="6" t="s">
        <v>39</v>
      </c>
      <c r="C1" s="6" t="s">
        <v>106</v>
      </c>
      <c r="D1" s="6" t="s">
        <v>41</v>
      </c>
      <c r="E1" s="6" t="s">
        <v>42</v>
      </c>
      <c r="F1" s="6" t="s">
        <v>43</v>
      </c>
    </row>
    <row r="2" spans="1:6" x14ac:dyDescent="0.3">
      <c r="A2" t="s">
        <v>44</v>
      </c>
      <c r="B2" t="s">
        <v>47</v>
      </c>
      <c r="C2">
        <v>3740432</v>
      </c>
      <c r="D2" s="7">
        <v>2012</v>
      </c>
      <c r="E2" s="7" t="s">
        <v>107</v>
      </c>
      <c r="F2" t="s">
        <v>108</v>
      </c>
    </row>
    <row r="3" spans="1:6" x14ac:dyDescent="0.3">
      <c r="A3" t="s">
        <v>51</v>
      </c>
      <c r="B3" t="s">
        <v>47</v>
      </c>
      <c r="C3">
        <v>5180478</v>
      </c>
      <c r="D3" s="7">
        <v>2012</v>
      </c>
      <c r="E3" s="7" t="s">
        <v>109</v>
      </c>
      <c r="F3" t="s">
        <v>108</v>
      </c>
    </row>
    <row r="4" spans="1:6" x14ac:dyDescent="0.3">
      <c r="A4" t="s">
        <v>52</v>
      </c>
      <c r="B4" t="s">
        <v>47</v>
      </c>
      <c r="C4">
        <v>5851043</v>
      </c>
      <c r="D4" s="7">
        <v>2012</v>
      </c>
      <c r="E4" s="7" t="s">
        <v>110</v>
      </c>
      <c r="F4" t="s">
        <v>108</v>
      </c>
    </row>
    <row r="5" spans="1:6" x14ac:dyDescent="0.3">
      <c r="A5" t="s">
        <v>53</v>
      </c>
      <c r="B5" t="s">
        <v>47</v>
      </c>
      <c r="C5">
        <v>4318828</v>
      </c>
      <c r="D5" s="7">
        <v>2012</v>
      </c>
      <c r="E5" s="7" t="s">
        <v>111</v>
      </c>
      <c r="F5" t="s">
        <v>108</v>
      </c>
    </row>
    <row r="6" spans="1:6" x14ac:dyDescent="0.3">
      <c r="A6" t="s">
        <v>54</v>
      </c>
      <c r="B6" t="s">
        <v>47</v>
      </c>
      <c r="C6">
        <v>3874988</v>
      </c>
      <c r="D6" s="7">
        <v>2013</v>
      </c>
      <c r="E6" s="7" t="s">
        <v>107</v>
      </c>
      <c r="F6" t="s">
        <v>108</v>
      </c>
    </row>
    <row r="7" spans="1:6" x14ac:dyDescent="0.3">
      <c r="A7" t="s">
        <v>55</v>
      </c>
      <c r="B7" t="s">
        <v>47</v>
      </c>
      <c r="C7">
        <v>5460037</v>
      </c>
      <c r="D7" s="7">
        <v>2013</v>
      </c>
      <c r="E7" s="7" t="s">
        <v>109</v>
      </c>
      <c r="F7" t="s">
        <v>108</v>
      </c>
    </row>
    <row r="8" spans="1:6" x14ac:dyDescent="0.3">
      <c r="A8" t="s">
        <v>56</v>
      </c>
      <c r="B8" t="s">
        <v>47</v>
      </c>
      <c r="C8">
        <v>6211891</v>
      </c>
      <c r="D8" s="7">
        <v>2013</v>
      </c>
      <c r="E8" s="7" t="s">
        <v>110</v>
      </c>
      <c r="F8" t="s">
        <v>108</v>
      </c>
    </row>
    <row r="9" spans="1:6" x14ac:dyDescent="0.3">
      <c r="A9" t="s">
        <v>57</v>
      </c>
      <c r="B9" t="s">
        <v>47</v>
      </c>
      <c r="C9">
        <v>4601658</v>
      </c>
      <c r="D9" s="7">
        <v>2013</v>
      </c>
      <c r="E9" s="7" t="s">
        <v>111</v>
      </c>
      <c r="F9" t="s">
        <v>108</v>
      </c>
    </row>
    <row r="10" spans="1:6" x14ac:dyDescent="0.3">
      <c r="A10" t="s">
        <v>58</v>
      </c>
      <c r="B10" t="s">
        <v>47</v>
      </c>
      <c r="C10">
        <v>4062698</v>
      </c>
      <c r="D10" s="7">
        <v>2014</v>
      </c>
      <c r="E10" s="7" t="s">
        <v>107</v>
      </c>
      <c r="F10" t="s">
        <v>108</v>
      </c>
    </row>
    <row r="11" spans="1:6" x14ac:dyDescent="0.3">
      <c r="A11" t="s">
        <v>59</v>
      </c>
      <c r="B11" t="s">
        <v>47</v>
      </c>
      <c r="C11">
        <v>5914826</v>
      </c>
      <c r="D11" s="7">
        <v>2014</v>
      </c>
      <c r="E11" s="7" t="s">
        <v>109</v>
      </c>
      <c r="F11" t="s">
        <v>108</v>
      </c>
    </row>
    <row r="12" spans="1:6" x14ac:dyDescent="0.3">
      <c r="A12" t="s">
        <v>60</v>
      </c>
      <c r="B12" t="s">
        <v>47</v>
      </c>
      <c r="C12">
        <v>6617238</v>
      </c>
      <c r="D12" s="7">
        <v>2014</v>
      </c>
      <c r="E12" s="7" t="s">
        <v>110</v>
      </c>
      <c r="F12" t="s">
        <v>108</v>
      </c>
    </row>
    <row r="13" spans="1:6" x14ac:dyDescent="0.3">
      <c r="A13" t="s">
        <v>61</v>
      </c>
      <c r="B13" t="s">
        <v>47</v>
      </c>
      <c r="C13">
        <v>5100131</v>
      </c>
      <c r="D13" s="7">
        <v>2014</v>
      </c>
      <c r="E13" s="7" t="s">
        <v>111</v>
      </c>
      <c r="F13" t="s">
        <v>108</v>
      </c>
    </row>
    <row r="14" spans="1:6" x14ac:dyDescent="0.3">
      <c r="A14" t="s">
        <v>62</v>
      </c>
      <c r="B14" t="s">
        <v>47</v>
      </c>
      <c r="C14">
        <v>4740924</v>
      </c>
      <c r="D14" s="7">
        <v>2015</v>
      </c>
      <c r="E14" s="7" t="s">
        <v>107</v>
      </c>
      <c r="F14" t="s">
        <v>108</v>
      </c>
    </row>
    <row r="15" spans="1:6" x14ac:dyDescent="0.3">
      <c r="A15" t="s">
        <v>63</v>
      </c>
      <c r="B15" t="s">
        <v>47</v>
      </c>
      <c r="C15">
        <v>6733056</v>
      </c>
      <c r="D15" s="7">
        <v>2015</v>
      </c>
      <c r="E15" s="7" t="s">
        <v>109</v>
      </c>
      <c r="F15" t="s">
        <v>108</v>
      </c>
    </row>
    <row r="16" spans="1:6" x14ac:dyDescent="0.3">
      <c r="A16" t="s">
        <v>64</v>
      </c>
      <c r="B16" t="s">
        <v>47</v>
      </c>
      <c r="C16">
        <v>7621339</v>
      </c>
      <c r="D16" s="7">
        <v>2015</v>
      </c>
      <c r="E16" s="7" t="s">
        <v>110</v>
      </c>
      <c r="F16" t="s">
        <v>108</v>
      </c>
    </row>
    <row r="17" spans="1:6" x14ac:dyDescent="0.3">
      <c r="A17" t="s">
        <v>65</v>
      </c>
      <c r="B17" t="s">
        <v>47</v>
      </c>
      <c r="C17">
        <v>5867199</v>
      </c>
      <c r="D17" s="7">
        <v>2015</v>
      </c>
      <c r="E17" s="7" t="s">
        <v>111</v>
      </c>
      <c r="F17" t="s">
        <v>108</v>
      </c>
    </row>
    <row r="18" spans="1:6" x14ac:dyDescent="0.3">
      <c r="A18" t="s">
        <v>66</v>
      </c>
      <c r="B18" t="s">
        <v>47</v>
      </c>
      <c r="C18">
        <v>5534979</v>
      </c>
      <c r="D18" s="7">
        <v>2016</v>
      </c>
      <c r="E18" s="7" t="s">
        <v>107</v>
      </c>
      <c r="F18" t="s">
        <v>108</v>
      </c>
    </row>
    <row r="19" spans="1:6" x14ac:dyDescent="0.3">
      <c r="A19" t="s">
        <v>67</v>
      </c>
      <c r="B19" t="s">
        <v>47</v>
      </c>
      <c r="C19">
        <v>7415559</v>
      </c>
      <c r="D19" s="7">
        <v>2016</v>
      </c>
      <c r="E19" s="7" t="s">
        <v>109</v>
      </c>
      <c r="F19" t="s">
        <v>108</v>
      </c>
    </row>
    <row r="20" spans="1:6" x14ac:dyDescent="0.3">
      <c r="A20" t="s">
        <v>68</v>
      </c>
      <c r="B20" t="s">
        <v>47</v>
      </c>
      <c r="C20">
        <v>8361602</v>
      </c>
      <c r="D20" s="7">
        <v>2016</v>
      </c>
      <c r="E20" s="7" t="s">
        <v>110</v>
      </c>
      <c r="F20" t="s">
        <v>108</v>
      </c>
    </row>
    <row r="21" spans="1:6" x14ac:dyDescent="0.3">
      <c r="A21" t="s">
        <v>69</v>
      </c>
      <c r="B21" t="s">
        <v>47</v>
      </c>
      <c r="C21">
        <v>6466748</v>
      </c>
      <c r="D21" s="7">
        <v>2016</v>
      </c>
      <c r="E21" s="7" t="s">
        <v>111</v>
      </c>
      <c r="F21" t="s">
        <v>108</v>
      </c>
    </row>
    <row r="22" spans="1:6" x14ac:dyDescent="0.3">
      <c r="A22" t="s">
        <v>70</v>
      </c>
      <c r="B22" t="s">
        <v>47</v>
      </c>
      <c r="C22">
        <v>5795278</v>
      </c>
      <c r="D22" s="7">
        <v>2017</v>
      </c>
      <c r="E22" s="7" t="s">
        <v>107</v>
      </c>
      <c r="F22" t="s">
        <v>108</v>
      </c>
    </row>
    <row r="23" spans="1:6" x14ac:dyDescent="0.3">
      <c r="A23" t="s">
        <v>71</v>
      </c>
      <c r="B23" t="s">
        <v>47</v>
      </c>
      <c r="C23">
        <v>7960058</v>
      </c>
      <c r="D23" s="7">
        <v>2017</v>
      </c>
      <c r="E23" s="7" t="s">
        <v>109</v>
      </c>
      <c r="F23" t="s">
        <v>108</v>
      </c>
    </row>
    <row r="24" spans="1:6" x14ac:dyDescent="0.3">
      <c r="A24" t="s">
        <v>72</v>
      </c>
      <c r="B24" t="s">
        <v>47</v>
      </c>
      <c r="C24">
        <v>8893941</v>
      </c>
      <c r="D24" s="7">
        <v>2017</v>
      </c>
      <c r="E24" s="7" t="s">
        <v>110</v>
      </c>
      <c r="F24" t="s">
        <v>108</v>
      </c>
    </row>
    <row r="25" spans="1:6" x14ac:dyDescent="0.3">
      <c r="A25" t="s">
        <v>73</v>
      </c>
      <c r="B25" t="s">
        <v>47</v>
      </c>
      <c r="C25">
        <v>6805197</v>
      </c>
      <c r="D25" s="7">
        <v>2017</v>
      </c>
      <c r="E25" s="7" t="s">
        <v>111</v>
      </c>
      <c r="F25" t="s">
        <v>108</v>
      </c>
    </row>
    <row r="26" spans="1:6" x14ac:dyDescent="0.3">
      <c r="A26" t="s">
        <v>74</v>
      </c>
      <c r="B26" t="s">
        <v>47</v>
      </c>
      <c r="C26">
        <v>6037482</v>
      </c>
      <c r="D26" s="7">
        <v>2018</v>
      </c>
      <c r="E26" s="7" t="s">
        <v>107</v>
      </c>
      <c r="F26" t="s">
        <v>108</v>
      </c>
    </row>
    <row r="27" spans="1:6" x14ac:dyDescent="0.3">
      <c r="A27" t="s">
        <v>75</v>
      </c>
      <c r="B27" t="s">
        <v>47</v>
      </c>
      <c r="C27">
        <v>8558244</v>
      </c>
      <c r="D27" s="7">
        <v>2018</v>
      </c>
      <c r="E27" s="7" t="s">
        <v>109</v>
      </c>
      <c r="F27" t="s">
        <v>108</v>
      </c>
    </row>
    <row r="28" spans="1:6" x14ac:dyDescent="0.3">
      <c r="A28" t="s">
        <v>76</v>
      </c>
      <c r="B28" t="s">
        <v>47</v>
      </c>
      <c r="C28">
        <v>9430981</v>
      </c>
      <c r="D28" s="7">
        <v>2018</v>
      </c>
      <c r="E28" s="7" t="s">
        <v>110</v>
      </c>
      <c r="F28" t="s">
        <v>108</v>
      </c>
    </row>
    <row r="29" spans="1:6" x14ac:dyDescent="0.3">
      <c r="A29" t="s">
        <v>77</v>
      </c>
      <c r="B29" t="s">
        <v>47</v>
      </c>
      <c r="C29">
        <v>7292712</v>
      </c>
      <c r="D29" s="7">
        <v>2018</v>
      </c>
      <c r="E29" s="7" t="s">
        <v>111</v>
      </c>
      <c r="F29" t="s">
        <v>108</v>
      </c>
    </row>
    <row r="30" spans="1:6" x14ac:dyDescent="0.3">
      <c r="A30" t="s">
        <v>78</v>
      </c>
      <c r="B30" t="s">
        <v>47</v>
      </c>
      <c r="C30">
        <v>6480314</v>
      </c>
      <c r="D30" s="7">
        <v>2019</v>
      </c>
      <c r="E30" s="7" t="s">
        <v>107</v>
      </c>
      <c r="F30" t="s">
        <v>108</v>
      </c>
    </row>
    <row r="31" spans="1:6" x14ac:dyDescent="0.3">
      <c r="A31" t="s">
        <v>79</v>
      </c>
      <c r="B31" t="s">
        <v>47</v>
      </c>
      <c r="C31">
        <v>8957586</v>
      </c>
      <c r="D31" s="7">
        <v>2019</v>
      </c>
      <c r="E31" s="7" t="s">
        <v>109</v>
      </c>
      <c r="F31" t="s">
        <v>108</v>
      </c>
    </row>
    <row r="32" spans="1:6" x14ac:dyDescent="0.3">
      <c r="A32" t="s">
        <v>80</v>
      </c>
      <c r="B32" t="s">
        <v>47</v>
      </c>
      <c r="C32">
        <v>9852369</v>
      </c>
      <c r="D32" s="7">
        <v>2019</v>
      </c>
      <c r="E32" s="7" t="s">
        <v>110</v>
      </c>
      <c r="F32" t="s">
        <v>108</v>
      </c>
    </row>
    <row r="33" spans="1:6" x14ac:dyDescent="0.3">
      <c r="A33" t="s">
        <v>81</v>
      </c>
      <c r="B33" t="s">
        <v>47</v>
      </c>
      <c r="C33">
        <v>7385982</v>
      </c>
      <c r="D33" s="7">
        <v>2019</v>
      </c>
      <c r="E33" s="7" t="s">
        <v>111</v>
      </c>
      <c r="F33" t="s">
        <v>108</v>
      </c>
    </row>
    <row r="34" spans="1:6" x14ac:dyDescent="0.3">
      <c r="A34" t="s">
        <v>82</v>
      </c>
      <c r="B34" t="s">
        <v>47</v>
      </c>
      <c r="C34">
        <v>5139128</v>
      </c>
      <c r="D34" s="7">
        <v>2020</v>
      </c>
      <c r="E34" s="7" t="s">
        <v>107</v>
      </c>
      <c r="F34" t="s">
        <v>112</v>
      </c>
    </row>
    <row r="35" spans="1:6" x14ac:dyDescent="0.3">
      <c r="A35" t="s">
        <v>83</v>
      </c>
      <c r="B35" t="s">
        <v>47</v>
      </c>
      <c r="C35">
        <v>155592</v>
      </c>
      <c r="D35" s="7">
        <v>2020</v>
      </c>
      <c r="E35" s="7" t="s">
        <v>109</v>
      </c>
      <c r="F35" t="s">
        <v>112</v>
      </c>
    </row>
    <row r="36" spans="1:6" x14ac:dyDescent="0.3">
      <c r="A36" t="s">
        <v>84</v>
      </c>
      <c r="B36" t="s">
        <v>47</v>
      </c>
      <c r="C36">
        <v>1270411</v>
      </c>
      <c r="D36" s="7">
        <v>2020</v>
      </c>
      <c r="E36" s="7" t="s">
        <v>110</v>
      </c>
      <c r="F36" t="s">
        <v>112</v>
      </c>
    </row>
    <row r="37" spans="1:6" x14ac:dyDescent="0.3">
      <c r="A37" t="s">
        <v>85</v>
      </c>
      <c r="B37" t="s">
        <v>47</v>
      </c>
      <c r="C37">
        <v>702109</v>
      </c>
      <c r="D37" s="7">
        <v>2020</v>
      </c>
      <c r="E37" s="7" t="s">
        <v>111</v>
      </c>
      <c r="F37" t="s">
        <v>112</v>
      </c>
    </row>
    <row r="38" spans="1:6" x14ac:dyDescent="0.3">
      <c r="A38" t="s">
        <v>86</v>
      </c>
      <c r="B38" t="s">
        <v>47</v>
      </c>
      <c r="C38">
        <v>405112</v>
      </c>
      <c r="D38" s="7">
        <v>2021</v>
      </c>
      <c r="E38" s="7" t="s">
        <v>107</v>
      </c>
      <c r="F38" t="s">
        <v>112</v>
      </c>
    </row>
    <row r="39" spans="1:6" x14ac:dyDescent="0.3">
      <c r="A39" t="s">
        <v>87</v>
      </c>
      <c r="B39" t="s">
        <v>47</v>
      </c>
      <c r="C39">
        <v>554749</v>
      </c>
      <c r="D39" s="7">
        <v>2021</v>
      </c>
      <c r="E39" s="7" t="s">
        <v>109</v>
      </c>
      <c r="F39" t="s">
        <v>112</v>
      </c>
    </row>
    <row r="40" spans="1:6" x14ac:dyDescent="0.3">
      <c r="A40" t="s">
        <v>88</v>
      </c>
      <c r="B40" t="s">
        <v>47</v>
      </c>
      <c r="C40">
        <v>3202834</v>
      </c>
      <c r="D40" s="7">
        <v>2021</v>
      </c>
      <c r="E40" s="7" t="s">
        <v>110</v>
      </c>
      <c r="F40" t="s">
        <v>112</v>
      </c>
    </row>
    <row r="41" spans="1:6" x14ac:dyDescent="0.3">
      <c r="A41" t="s">
        <v>89</v>
      </c>
      <c r="B41" t="s">
        <v>47</v>
      </c>
      <c r="C41">
        <v>4103576</v>
      </c>
      <c r="D41" s="7">
        <v>2021</v>
      </c>
      <c r="E41" s="7" t="s">
        <v>111</v>
      </c>
      <c r="F41" t="s">
        <v>112</v>
      </c>
    </row>
    <row r="42" spans="1:6" x14ac:dyDescent="0.3">
      <c r="A42" t="s">
        <v>90</v>
      </c>
      <c r="B42" t="s">
        <v>47</v>
      </c>
      <c r="C42">
        <v>4099571</v>
      </c>
      <c r="D42" s="7">
        <v>2022</v>
      </c>
      <c r="E42" s="7" t="s">
        <v>107</v>
      </c>
      <c r="F42" t="s">
        <v>113</v>
      </c>
    </row>
    <row r="43" spans="1:6" x14ac:dyDescent="0.3">
      <c r="A43" t="s">
        <v>91</v>
      </c>
      <c r="B43" t="s">
        <v>47</v>
      </c>
      <c r="C43">
        <v>7779695</v>
      </c>
      <c r="D43" s="7">
        <v>2022</v>
      </c>
      <c r="E43" s="7" t="s">
        <v>109</v>
      </c>
      <c r="F43" t="s">
        <v>113</v>
      </c>
    </row>
    <row r="44" spans="1:6" x14ac:dyDescent="0.3">
      <c r="A44" t="s">
        <v>92</v>
      </c>
      <c r="B44" t="s">
        <v>47</v>
      </c>
      <c r="C44">
        <v>8840733</v>
      </c>
      <c r="D44" s="7">
        <v>2022</v>
      </c>
      <c r="E44" s="7" t="s">
        <v>110</v>
      </c>
      <c r="F44" t="s">
        <v>113</v>
      </c>
    </row>
    <row r="45" spans="1:6" x14ac:dyDescent="0.3">
      <c r="A45" t="s">
        <v>93</v>
      </c>
      <c r="B45" t="s">
        <v>47</v>
      </c>
      <c r="C45">
        <v>7073346</v>
      </c>
      <c r="D45" s="7">
        <v>2022</v>
      </c>
      <c r="E45" s="7" t="s">
        <v>111</v>
      </c>
      <c r="F45" t="s">
        <v>113</v>
      </c>
    </row>
    <row r="46" spans="1:6" x14ac:dyDescent="0.3">
      <c r="A46" t="s">
        <v>94</v>
      </c>
      <c r="B46" t="s">
        <v>47</v>
      </c>
      <c r="C46">
        <v>6589966</v>
      </c>
      <c r="D46" s="7">
        <v>2023</v>
      </c>
      <c r="E46" s="7" t="s">
        <v>107</v>
      </c>
      <c r="F46" t="s">
        <v>113</v>
      </c>
    </row>
    <row r="47" spans="1:6" x14ac:dyDescent="0.3">
      <c r="A47" t="s">
        <v>95</v>
      </c>
      <c r="B47" t="s">
        <v>47</v>
      </c>
      <c r="C47">
        <v>9058940</v>
      </c>
      <c r="D47" s="7">
        <v>2023</v>
      </c>
      <c r="E47" s="7" t="s">
        <v>109</v>
      </c>
      <c r="F47" t="s">
        <v>113</v>
      </c>
    </row>
    <row r="48" spans="1:6" x14ac:dyDescent="0.3">
      <c r="A48" t="s">
        <v>96</v>
      </c>
      <c r="B48" t="s">
        <v>47</v>
      </c>
      <c r="C48">
        <v>9929211</v>
      </c>
      <c r="D48" s="7">
        <v>2023</v>
      </c>
      <c r="E48" s="7" t="s">
        <v>110</v>
      </c>
      <c r="F48" t="s">
        <v>113</v>
      </c>
    </row>
    <row r="49" spans="1:6" x14ac:dyDescent="0.3">
      <c r="A49" t="s">
        <v>97</v>
      </c>
      <c r="B49" t="s">
        <v>47</v>
      </c>
      <c r="C49">
        <v>7684824</v>
      </c>
      <c r="D49" s="7">
        <v>2023</v>
      </c>
      <c r="E49" s="7" t="s">
        <v>111</v>
      </c>
      <c r="F49" t="s">
        <v>113</v>
      </c>
    </row>
    <row r="50" spans="1:6" x14ac:dyDescent="0.3">
      <c r="A50" t="s">
        <v>98</v>
      </c>
      <c r="B50" t="s">
        <v>47</v>
      </c>
      <c r="C50">
        <v>7025552</v>
      </c>
      <c r="D50" s="7">
        <v>2024</v>
      </c>
      <c r="E50" s="7" t="s">
        <v>107</v>
      </c>
      <c r="F50" t="s">
        <v>113</v>
      </c>
    </row>
    <row r="51" spans="1:6" x14ac:dyDescent="0.3">
      <c r="A51" t="s">
        <v>99</v>
      </c>
      <c r="B51" t="s">
        <v>47</v>
      </c>
      <c r="C51">
        <v>9479228</v>
      </c>
      <c r="D51" s="7">
        <v>2024</v>
      </c>
      <c r="E51" s="7" t="s">
        <v>109</v>
      </c>
      <c r="F51" t="s">
        <v>113</v>
      </c>
    </row>
    <row r="52" spans="1:6" x14ac:dyDescent="0.3">
      <c r="A52" t="s">
        <v>100</v>
      </c>
      <c r="B52" t="s">
        <v>47</v>
      </c>
      <c r="C52">
        <v>10369522</v>
      </c>
      <c r="D52" s="7">
        <v>2024</v>
      </c>
      <c r="E52" s="7" t="s">
        <v>110</v>
      </c>
      <c r="F52" t="s">
        <v>113</v>
      </c>
    </row>
    <row r="53" spans="1:6" x14ac:dyDescent="0.3">
      <c r="A53" t="s">
        <v>101</v>
      </c>
      <c r="B53" t="s">
        <v>47</v>
      </c>
      <c r="C53">
        <v>7748958</v>
      </c>
      <c r="D53" s="7">
        <v>2024</v>
      </c>
      <c r="E53" s="7" t="s">
        <v>111</v>
      </c>
      <c r="F53" t="s">
        <v>113</v>
      </c>
    </row>
    <row r="54" spans="1:6" x14ac:dyDescent="0.3">
      <c r="A54" t="s">
        <v>102</v>
      </c>
      <c r="B54" t="s">
        <v>47</v>
      </c>
      <c r="C54">
        <v>6933757</v>
      </c>
      <c r="D54" s="7">
        <v>2025</v>
      </c>
      <c r="E54" s="7" t="s">
        <v>107</v>
      </c>
      <c r="F54" t="s">
        <v>113</v>
      </c>
    </row>
    <row r="55" spans="1:6" x14ac:dyDescent="0.3">
      <c r="A55" t="s">
        <v>103</v>
      </c>
      <c r="B55" t="s">
        <v>47</v>
      </c>
      <c r="C55">
        <v>10017651</v>
      </c>
      <c r="D55" s="7">
        <v>2025</v>
      </c>
      <c r="E55" s="7" t="s">
        <v>109</v>
      </c>
      <c r="F55" t="s">
        <v>113</v>
      </c>
    </row>
    <row r="56" spans="1:6" x14ac:dyDescent="0.3">
      <c r="D56" s="7"/>
      <c r="E56" s="7"/>
    </row>
    <row r="57" spans="1:6" x14ac:dyDescent="0.3">
      <c r="D57" s="7"/>
      <c r="E57" s="7"/>
    </row>
    <row r="58" spans="1:6" x14ac:dyDescent="0.3">
      <c r="D58" s="7"/>
      <c r="E58" s="7"/>
    </row>
    <row r="59" spans="1:6" x14ac:dyDescent="0.3">
      <c r="D59" s="7"/>
      <c r="E59" s="7"/>
    </row>
    <row r="60" spans="1:6" x14ac:dyDescent="0.3">
      <c r="D60" s="7"/>
      <c r="E60" s="7"/>
    </row>
    <row r="61" spans="1:6" x14ac:dyDescent="0.3">
      <c r="D61" s="7"/>
      <c r="E61" s="7"/>
    </row>
    <row r="62" spans="1:6" x14ac:dyDescent="0.3">
      <c r="D62" s="7"/>
      <c r="E62" s="7"/>
    </row>
    <row r="63" spans="1:6" x14ac:dyDescent="0.3">
      <c r="D63" s="7"/>
      <c r="E63" s="7"/>
    </row>
    <row r="64" spans="1:6" x14ac:dyDescent="0.3">
      <c r="D64" s="7"/>
      <c r="E64" s="7"/>
    </row>
    <row r="65" spans="4:5" x14ac:dyDescent="0.3">
      <c r="D65" s="7"/>
      <c r="E65" s="7"/>
    </row>
    <row r="66" spans="4:5" x14ac:dyDescent="0.3">
      <c r="D66" s="7"/>
      <c r="E66" s="7"/>
    </row>
    <row r="67" spans="4:5" x14ac:dyDescent="0.3">
      <c r="D67" s="7"/>
      <c r="E67" s="7"/>
    </row>
    <row r="68" spans="4:5" x14ac:dyDescent="0.3">
      <c r="D68" s="7"/>
      <c r="E68" s="7"/>
    </row>
    <row r="69" spans="4:5" x14ac:dyDescent="0.3">
      <c r="D69" s="7"/>
      <c r="E69" s="7"/>
    </row>
    <row r="70" spans="4:5" x14ac:dyDescent="0.3">
      <c r="D70" s="7"/>
      <c r="E70" s="7"/>
    </row>
    <row r="71" spans="4:5" x14ac:dyDescent="0.3">
      <c r="D71" s="7"/>
      <c r="E71" s="7"/>
    </row>
    <row r="72" spans="4:5" x14ac:dyDescent="0.3">
      <c r="D72" s="7"/>
      <c r="E72" s="7"/>
    </row>
    <row r="73" spans="4:5" x14ac:dyDescent="0.3">
      <c r="D73" s="7"/>
      <c r="E73" s="7"/>
    </row>
    <row r="74" spans="4:5" x14ac:dyDescent="0.3">
      <c r="D74" s="7"/>
      <c r="E74" s="7"/>
    </row>
    <row r="75" spans="4:5" x14ac:dyDescent="0.3">
      <c r="D75" s="7"/>
      <c r="E75" s="7"/>
    </row>
    <row r="76" spans="4:5" x14ac:dyDescent="0.3">
      <c r="D76" s="7"/>
      <c r="E76" s="7"/>
    </row>
    <row r="77" spans="4:5" x14ac:dyDescent="0.3">
      <c r="D77" s="7"/>
      <c r="E77" s="7"/>
    </row>
    <row r="78" spans="4:5" x14ac:dyDescent="0.3">
      <c r="D78" s="7"/>
      <c r="E78" s="7"/>
    </row>
    <row r="79" spans="4:5" x14ac:dyDescent="0.3">
      <c r="D79" s="7"/>
      <c r="E79" s="7"/>
    </row>
    <row r="80" spans="4:5" x14ac:dyDescent="0.3">
      <c r="D80" s="7"/>
      <c r="E80" s="7"/>
    </row>
    <row r="81" spans="4:5" x14ac:dyDescent="0.3">
      <c r="D81" s="7"/>
      <c r="E81" s="7"/>
    </row>
    <row r="82" spans="4:5" x14ac:dyDescent="0.3">
      <c r="D82" s="7"/>
      <c r="E82" s="7"/>
    </row>
    <row r="83" spans="4:5" x14ac:dyDescent="0.3">
      <c r="D83" s="7"/>
      <c r="E83" s="7"/>
    </row>
    <row r="84" spans="4:5" x14ac:dyDescent="0.3">
      <c r="D84" s="7"/>
      <c r="E84" s="7"/>
    </row>
    <row r="85" spans="4:5" x14ac:dyDescent="0.3">
      <c r="D85" s="7"/>
      <c r="E85" s="7"/>
    </row>
    <row r="86" spans="4:5" x14ac:dyDescent="0.3">
      <c r="D86" s="7"/>
      <c r="E86" s="7"/>
    </row>
    <row r="87" spans="4:5" x14ac:dyDescent="0.3">
      <c r="D87" s="7"/>
      <c r="E87" s="7"/>
    </row>
    <row r="88" spans="4:5" x14ac:dyDescent="0.3">
      <c r="D88" s="7"/>
      <c r="E88" s="7"/>
    </row>
    <row r="89" spans="4:5" x14ac:dyDescent="0.3">
      <c r="D89" s="7"/>
      <c r="E89" s="7"/>
    </row>
    <row r="90" spans="4:5" x14ac:dyDescent="0.3">
      <c r="D90" s="7"/>
      <c r="E90" s="7"/>
    </row>
    <row r="91" spans="4:5" x14ac:dyDescent="0.3">
      <c r="D91" s="7"/>
      <c r="E91" s="7"/>
    </row>
    <row r="92" spans="4:5" x14ac:dyDescent="0.3">
      <c r="D92" s="7"/>
      <c r="E92" s="7"/>
    </row>
    <row r="93" spans="4:5" x14ac:dyDescent="0.3">
      <c r="D93" s="7"/>
      <c r="E93" s="7"/>
    </row>
    <row r="94" spans="4:5" x14ac:dyDescent="0.3">
      <c r="D94" s="7"/>
      <c r="E94" s="7"/>
    </row>
    <row r="95" spans="4:5" x14ac:dyDescent="0.3">
      <c r="D95" s="7"/>
      <c r="E95" s="7"/>
    </row>
    <row r="96" spans="4:5" x14ac:dyDescent="0.3">
      <c r="D96" s="7"/>
      <c r="E96" s="7"/>
    </row>
    <row r="97" spans="4:5" x14ac:dyDescent="0.3">
      <c r="D97" s="7"/>
      <c r="E97" s="7"/>
    </row>
    <row r="98" spans="4:5" x14ac:dyDescent="0.3">
      <c r="D98" s="7"/>
      <c r="E98" s="7"/>
    </row>
    <row r="99" spans="4:5" x14ac:dyDescent="0.3">
      <c r="D99" s="7"/>
      <c r="E99" s="7"/>
    </row>
    <row r="100" spans="4:5" x14ac:dyDescent="0.3">
      <c r="D100" s="7"/>
      <c r="E100" s="7"/>
    </row>
    <row r="101" spans="4:5" x14ac:dyDescent="0.3">
      <c r="D101" s="7"/>
      <c r="E101" s="7"/>
    </row>
    <row r="102" spans="4:5" x14ac:dyDescent="0.3">
      <c r="D102" s="7"/>
      <c r="E102" s="7"/>
    </row>
    <row r="103" spans="4:5" x14ac:dyDescent="0.3">
      <c r="D103" s="7"/>
      <c r="E103" s="7"/>
    </row>
    <row r="104" spans="4:5" x14ac:dyDescent="0.3">
      <c r="D104" s="7"/>
      <c r="E104" s="7"/>
    </row>
    <row r="105" spans="4:5" x14ac:dyDescent="0.3">
      <c r="D105" s="7"/>
      <c r="E105" s="7"/>
    </row>
    <row r="106" spans="4:5" x14ac:dyDescent="0.3">
      <c r="D106" s="7"/>
      <c r="E106" s="7"/>
    </row>
    <row r="107" spans="4:5" x14ac:dyDescent="0.3">
      <c r="D107" s="7"/>
      <c r="E107" s="7"/>
    </row>
    <row r="108" spans="4:5" x14ac:dyDescent="0.3">
      <c r="D108" s="7"/>
      <c r="E108" s="7"/>
    </row>
    <row r="109" spans="4:5" x14ac:dyDescent="0.3">
      <c r="D109" s="7"/>
      <c r="E109" s="7"/>
    </row>
    <row r="110" spans="4:5" x14ac:dyDescent="0.3">
      <c r="D110" s="7"/>
      <c r="E110" s="7"/>
    </row>
    <row r="111" spans="4:5" x14ac:dyDescent="0.3">
      <c r="D111" s="7"/>
      <c r="E111" s="7"/>
    </row>
    <row r="112" spans="4:5" x14ac:dyDescent="0.3">
      <c r="D112" s="7"/>
      <c r="E112" s="7"/>
    </row>
    <row r="113" spans="4:5" x14ac:dyDescent="0.3">
      <c r="D113" s="7"/>
      <c r="E113" s="7"/>
    </row>
    <row r="114" spans="4:5" x14ac:dyDescent="0.3">
      <c r="D114" s="7"/>
      <c r="E114" s="7"/>
    </row>
    <row r="115" spans="4:5" x14ac:dyDescent="0.3">
      <c r="D115" s="7"/>
      <c r="E115" s="7"/>
    </row>
    <row r="116" spans="4:5" x14ac:dyDescent="0.3">
      <c r="D116" s="7"/>
      <c r="E116" s="7"/>
    </row>
    <row r="117" spans="4:5" x14ac:dyDescent="0.3">
      <c r="D117" s="7"/>
      <c r="E117" s="7"/>
    </row>
    <row r="118" spans="4:5" x14ac:dyDescent="0.3">
      <c r="D118" s="7"/>
      <c r="E118" s="7"/>
    </row>
    <row r="119" spans="4:5" x14ac:dyDescent="0.3">
      <c r="D119" s="7"/>
      <c r="E119" s="7"/>
    </row>
    <row r="120" spans="4:5" x14ac:dyDescent="0.3">
      <c r="D120" s="7"/>
      <c r="E120" s="7"/>
    </row>
    <row r="121" spans="4:5" x14ac:dyDescent="0.3">
      <c r="D121" s="7"/>
      <c r="E121" s="7"/>
    </row>
    <row r="122" spans="4:5" x14ac:dyDescent="0.3">
      <c r="D122" s="7"/>
      <c r="E122" s="7"/>
    </row>
    <row r="123" spans="4:5" x14ac:dyDescent="0.3">
      <c r="D123" s="7"/>
      <c r="E123" s="7"/>
    </row>
    <row r="124" spans="4:5" x14ac:dyDescent="0.3">
      <c r="D124" s="7"/>
      <c r="E124" s="7"/>
    </row>
    <row r="125" spans="4:5" x14ac:dyDescent="0.3">
      <c r="D125" s="7"/>
      <c r="E125" s="7"/>
    </row>
    <row r="126" spans="4:5" x14ac:dyDescent="0.3">
      <c r="D126" s="7"/>
      <c r="E126" s="7"/>
    </row>
    <row r="127" spans="4:5" x14ac:dyDescent="0.3">
      <c r="D127" s="7"/>
      <c r="E127" s="7"/>
    </row>
    <row r="128" spans="4:5" x14ac:dyDescent="0.3">
      <c r="D128" s="7"/>
      <c r="E128" s="7"/>
    </row>
    <row r="129" spans="4:5" x14ac:dyDescent="0.3">
      <c r="D129" s="7"/>
      <c r="E129" s="7"/>
    </row>
    <row r="130" spans="4:5" x14ac:dyDescent="0.3">
      <c r="D130" s="7"/>
      <c r="E130" s="7"/>
    </row>
    <row r="131" spans="4:5" x14ac:dyDescent="0.3">
      <c r="D131" s="7"/>
      <c r="E131" s="7"/>
    </row>
    <row r="132" spans="4:5" x14ac:dyDescent="0.3">
      <c r="D132" s="7"/>
      <c r="E132" s="7"/>
    </row>
    <row r="133" spans="4:5" x14ac:dyDescent="0.3">
      <c r="D133" s="7"/>
      <c r="E133" s="7"/>
    </row>
    <row r="134" spans="4:5" x14ac:dyDescent="0.3">
      <c r="D134" s="7"/>
      <c r="E134" s="7"/>
    </row>
    <row r="135" spans="4:5" x14ac:dyDescent="0.3">
      <c r="D135" s="7"/>
      <c r="E135" s="7"/>
    </row>
    <row r="136" spans="4:5" x14ac:dyDescent="0.3">
      <c r="D136" s="7"/>
      <c r="E136" s="7"/>
    </row>
    <row r="137" spans="4:5" x14ac:dyDescent="0.3">
      <c r="D137" s="7"/>
      <c r="E137" s="7"/>
    </row>
    <row r="138" spans="4:5" x14ac:dyDescent="0.3">
      <c r="D138" s="7"/>
      <c r="E138" s="7"/>
    </row>
    <row r="139" spans="4:5" x14ac:dyDescent="0.3">
      <c r="D139" s="7"/>
      <c r="E139" s="7"/>
    </row>
    <row r="140" spans="4:5" x14ac:dyDescent="0.3">
      <c r="D140" s="7"/>
      <c r="E140" s="7"/>
    </row>
    <row r="141" spans="4:5" x14ac:dyDescent="0.3">
      <c r="D141" s="7"/>
      <c r="E141" s="7"/>
    </row>
    <row r="142" spans="4:5" x14ac:dyDescent="0.3">
      <c r="D142" s="7"/>
      <c r="E142" s="7"/>
    </row>
    <row r="143" spans="4:5" x14ac:dyDescent="0.3">
      <c r="D143" s="7"/>
      <c r="E143" s="7"/>
    </row>
    <row r="144" spans="4:5" x14ac:dyDescent="0.3">
      <c r="D144" s="7"/>
      <c r="E144" s="7"/>
    </row>
    <row r="145" spans="4:5" x14ac:dyDescent="0.3">
      <c r="D145" s="7"/>
      <c r="E145" s="7"/>
    </row>
    <row r="146" spans="4:5" x14ac:dyDescent="0.3">
      <c r="D146" s="7"/>
      <c r="E146" s="7"/>
    </row>
    <row r="147" spans="4:5" x14ac:dyDescent="0.3">
      <c r="D147" s="7"/>
      <c r="E147" s="7"/>
    </row>
    <row r="148" spans="4:5" x14ac:dyDescent="0.3">
      <c r="D148" s="7"/>
      <c r="E148" s="7"/>
    </row>
    <row r="149" spans="4:5" x14ac:dyDescent="0.3">
      <c r="D149" s="7"/>
      <c r="E149" s="7"/>
    </row>
    <row r="150" spans="4:5" x14ac:dyDescent="0.3">
      <c r="D150" s="7"/>
      <c r="E150" s="7"/>
    </row>
    <row r="151" spans="4:5" x14ac:dyDescent="0.3">
      <c r="D151" s="7"/>
      <c r="E151" s="7"/>
    </row>
    <row r="152" spans="4:5" x14ac:dyDescent="0.3">
      <c r="D152" s="7"/>
      <c r="E152" s="7"/>
    </row>
    <row r="153" spans="4:5" x14ac:dyDescent="0.3">
      <c r="D153" s="7"/>
      <c r="E153" s="7"/>
    </row>
    <row r="154" spans="4:5" x14ac:dyDescent="0.3">
      <c r="D154" s="7"/>
      <c r="E154" s="7"/>
    </row>
    <row r="155" spans="4:5" x14ac:dyDescent="0.3">
      <c r="D155" s="7"/>
      <c r="E155" s="7"/>
    </row>
    <row r="156" spans="4:5" x14ac:dyDescent="0.3">
      <c r="D156" s="7"/>
      <c r="E156" s="7"/>
    </row>
    <row r="157" spans="4:5" x14ac:dyDescent="0.3">
      <c r="D157" s="7"/>
      <c r="E157" s="7"/>
    </row>
    <row r="158" spans="4:5" x14ac:dyDescent="0.3">
      <c r="D158" s="7"/>
      <c r="E158" s="7"/>
    </row>
    <row r="159" spans="4:5" x14ac:dyDescent="0.3">
      <c r="D159" s="7"/>
      <c r="E159" s="7"/>
    </row>
    <row r="160" spans="4:5" x14ac:dyDescent="0.3">
      <c r="D160" s="7"/>
      <c r="E160"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84895-3E3E-4FFA-8CEA-B585B48C5DA5}">
  <dimension ref="A1:F160"/>
  <sheetViews>
    <sheetView topLeftCell="A15" workbookViewId="0">
      <selection activeCell="I48" sqref="I48"/>
    </sheetView>
  </sheetViews>
  <sheetFormatPr defaultRowHeight="14.4" x14ac:dyDescent="0.3"/>
  <sheetData>
    <row r="1" spans="1:6" x14ac:dyDescent="0.3">
      <c r="A1" s="6" t="s">
        <v>105</v>
      </c>
      <c r="B1" s="6" t="s">
        <v>39</v>
      </c>
      <c r="C1" s="6" t="s">
        <v>106</v>
      </c>
      <c r="D1" s="6" t="s">
        <v>41</v>
      </c>
      <c r="E1" s="6" t="s">
        <v>42</v>
      </c>
      <c r="F1" s="6" t="s">
        <v>43</v>
      </c>
    </row>
    <row r="2" spans="1:6" x14ac:dyDescent="0.3">
      <c r="A2" t="s">
        <v>44</v>
      </c>
      <c r="B2" t="s">
        <v>46</v>
      </c>
      <c r="C2">
        <v>432766</v>
      </c>
      <c r="D2" s="7">
        <v>2012</v>
      </c>
      <c r="E2" s="7" t="s">
        <v>107</v>
      </c>
      <c r="F2" t="s">
        <v>108</v>
      </c>
    </row>
    <row r="3" spans="1:6" x14ac:dyDescent="0.3">
      <c r="A3" t="s">
        <v>51</v>
      </c>
      <c r="B3" t="s">
        <v>46</v>
      </c>
      <c r="C3">
        <v>648839</v>
      </c>
      <c r="D3" s="7">
        <v>2012</v>
      </c>
      <c r="E3" s="7" t="s">
        <v>109</v>
      </c>
      <c r="F3" t="s">
        <v>108</v>
      </c>
    </row>
    <row r="4" spans="1:6" x14ac:dyDescent="0.3">
      <c r="A4" t="s">
        <v>52</v>
      </c>
      <c r="B4" t="s">
        <v>46</v>
      </c>
      <c r="C4">
        <v>754985</v>
      </c>
      <c r="D4" s="7">
        <v>2012</v>
      </c>
      <c r="E4" s="7" t="s">
        <v>110</v>
      </c>
      <c r="F4" t="s">
        <v>108</v>
      </c>
    </row>
    <row r="5" spans="1:6" x14ac:dyDescent="0.3">
      <c r="A5" t="s">
        <v>53</v>
      </c>
      <c r="B5" t="s">
        <v>46</v>
      </c>
      <c r="C5">
        <v>497053</v>
      </c>
      <c r="D5" s="7">
        <v>2012</v>
      </c>
      <c r="E5" s="7" t="s">
        <v>111</v>
      </c>
      <c r="F5" t="s">
        <v>108</v>
      </c>
    </row>
    <row r="6" spans="1:6" x14ac:dyDescent="0.3">
      <c r="A6" t="s">
        <v>54</v>
      </c>
      <c r="B6" t="s">
        <v>46</v>
      </c>
      <c r="C6">
        <v>436568</v>
      </c>
      <c r="D6" s="7">
        <v>2013</v>
      </c>
      <c r="E6" s="7" t="s">
        <v>107</v>
      </c>
      <c r="F6" t="s">
        <v>108</v>
      </c>
    </row>
    <row r="7" spans="1:6" x14ac:dyDescent="0.3">
      <c r="A7" t="s">
        <v>55</v>
      </c>
      <c r="B7" t="s">
        <v>46</v>
      </c>
      <c r="C7">
        <v>634674</v>
      </c>
      <c r="D7" s="7">
        <v>2013</v>
      </c>
      <c r="E7" s="7" t="s">
        <v>109</v>
      </c>
      <c r="F7" t="s">
        <v>108</v>
      </c>
    </row>
    <row r="8" spans="1:6" x14ac:dyDescent="0.3">
      <c r="A8" t="s">
        <v>56</v>
      </c>
      <c r="B8" t="s">
        <v>46</v>
      </c>
      <c r="C8">
        <v>713739</v>
      </c>
      <c r="D8" s="7">
        <v>2013</v>
      </c>
      <c r="E8" s="7" t="s">
        <v>110</v>
      </c>
      <c r="F8" t="s">
        <v>108</v>
      </c>
    </row>
    <row r="9" spans="1:6" x14ac:dyDescent="0.3">
      <c r="A9" t="s">
        <v>57</v>
      </c>
      <c r="B9" t="s">
        <v>46</v>
      </c>
      <c r="C9">
        <v>467655</v>
      </c>
      <c r="D9" s="7">
        <v>2013</v>
      </c>
      <c r="E9" s="7" t="s">
        <v>111</v>
      </c>
      <c r="F9" t="s">
        <v>108</v>
      </c>
    </row>
    <row r="10" spans="1:6" x14ac:dyDescent="0.3">
      <c r="A10" t="s">
        <v>58</v>
      </c>
      <c r="B10" t="s">
        <v>46</v>
      </c>
      <c r="C10">
        <v>400785</v>
      </c>
      <c r="D10" s="7">
        <v>2014</v>
      </c>
      <c r="E10" s="7" t="s">
        <v>107</v>
      </c>
      <c r="F10" t="s">
        <v>108</v>
      </c>
    </row>
    <row r="11" spans="1:6" x14ac:dyDescent="0.3">
      <c r="A11" t="s">
        <v>59</v>
      </c>
      <c r="B11" t="s">
        <v>46</v>
      </c>
      <c r="C11">
        <v>610996</v>
      </c>
      <c r="D11" s="7">
        <v>2014</v>
      </c>
      <c r="E11" s="7" t="s">
        <v>109</v>
      </c>
      <c r="F11" t="s">
        <v>108</v>
      </c>
    </row>
    <row r="12" spans="1:6" x14ac:dyDescent="0.3">
      <c r="A12" t="s">
        <v>60</v>
      </c>
      <c r="B12" t="s">
        <v>46</v>
      </c>
      <c r="C12">
        <v>685538</v>
      </c>
      <c r="D12" s="7">
        <v>2014</v>
      </c>
      <c r="E12" s="7" t="s">
        <v>110</v>
      </c>
      <c r="F12" t="s">
        <v>108</v>
      </c>
    </row>
    <row r="13" spans="1:6" x14ac:dyDescent="0.3">
      <c r="A13" t="s">
        <v>61</v>
      </c>
      <c r="B13" t="s">
        <v>46</v>
      </c>
      <c r="C13">
        <v>440738</v>
      </c>
      <c r="D13" s="7">
        <v>2014</v>
      </c>
      <c r="E13" s="7" t="s">
        <v>111</v>
      </c>
      <c r="F13" t="s">
        <v>108</v>
      </c>
    </row>
    <row r="14" spans="1:6" x14ac:dyDescent="0.3">
      <c r="A14" t="s">
        <v>62</v>
      </c>
      <c r="B14" t="s">
        <v>46</v>
      </c>
      <c r="C14">
        <v>379553</v>
      </c>
      <c r="D14" s="7">
        <v>2015</v>
      </c>
      <c r="E14" s="7" t="s">
        <v>107</v>
      </c>
      <c r="F14" t="s">
        <v>108</v>
      </c>
    </row>
    <row r="15" spans="1:6" x14ac:dyDescent="0.3">
      <c r="A15" t="s">
        <v>63</v>
      </c>
      <c r="B15" t="s">
        <v>46</v>
      </c>
      <c r="C15">
        <v>580130</v>
      </c>
      <c r="D15" s="7">
        <v>2015</v>
      </c>
      <c r="E15" s="7" t="s">
        <v>109</v>
      </c>
      <c r="F15" t="s">
        <v>108</v>
      </c>
    </row>
    <row r="16" spans="1:6" x14ac:dyDescent="0.3">
      <c r="A16" t="s">
        <v>64</v>
      </c>
      <c r="B16" t="s">
        <v>46</v>
      </c>
      <c r="C16">
        <v>653801</v>
      </c>
      <c r="D16" s="7">
        <v>2015</v>
      </c>
      <c r="E16" s="7" t="s">
        <v>110</v>
      </c>
      <c r="F16" t="s">
        <v>108</v>
      </c>
    </row>
    <row r="17" spans="1:6" x14ac:dyDescent="0.3">
      <c r="A17" t="s">
        <v>65</v>
      </c>
      <c r="B17" t="s">
        <v>46</v>
      </c>
      <c r="C17">
        <v>452194</v>
      </c>
      <c r="D17" s="7">
        <v>2015</v>
      </c>
      <c r="E17" s="7" t="s">
        <v>111</v>
      </c>
      <c r="F17" t="s">
        <v>108</v>
      </c>
    </row>
    <row r="18" spans="1:6" x14ac:dyDescent="0.3">
      <c r="A18" t="s">
        <v>66</v>
      </c>
      <c r="B18" t="s">
        <v>46</v>
      </c>
      <c r="C18">
        <v>419334</v>
      </c>
      <c r="D18" s="7">
        <v>2016</v>
      </c>
      <c r="E18" s="7" t="s">
        <v>107</v>
      </c>
      <c r="F18" t="s">
        <v>108</v>
      </c>
    </row>
    <row r="19" spans="1:6" x14ac:dyDescent="0.3">
      <c r="A19" t="s">
        <v>67</v>
      </c>
      <c r="B19" t="s">
        <v>46</v>
      </c>
      <c r="C19">
        <v>625599</v>
      </c>
      <c r="D19" s="7">
        <v>2016</v>
      </c>
      <c r="E19" s="7" t="s">
        <v>109</v>
      </c>
      <c r="F19" t="s">
        <v>108</v>
      </c>
    </row>
    <row r="20" spans="1:6" x14ac:dyDescent="0.3">
      <c r="A20" t="s">
        <v>68</v>
      </c>
      <c r="B20" t="s">
        <v>46</v>
      </c>
      <c r="C20">
        <v>706690</v>
      </c>
      <c r="D20" s="7">
        <v>2016</v>
      </c>
      <c r="E20" s="7" t="s">
        <v>110</v>
      </c>
      <c r="F20" t="s">
        <v>108</v>
      </c>
    </row>
    <row r="21" spans="1:6" x14ac:dyDescent="0.3">
      <c r="A21" t="s">
        <v>69</v>
      </c>
      <c r="B21" t="s">
        <v>46</v>
      </c>
      <c r="C21">
        <v>474610</v>
      </c>
      <c r="D21" s="7">
        <v>2016</v>
      </c>
      <c r="E21" s="7" t="s">
        <v>111</v>
      </c>
      <c r="F21" t="s">
        <v>108</v>
      </c>
    </row>
    <row r="22" spans="1:6" x14ac:dyDescent="0.3">
      <c r="A22" t="s">
        <v>70</v>
      </c>
      <c r="B22" t="s">
        <v>46</v>
      </c>
      <c r="C22">
        <v>418458</v>
      </c>
      <c r="D22" s="7">
        <v>2017</v>
      </c>
      <c r="E22" s="7" t="s">
        <v>107</v>
      </c>
      <c r="F22" t="s">
        <v>108</v>
      </c>
    </row>
    <row r="23" spans="1:6" x14ac:dyDescent="0.3">
      <c r="A23" t="s">
        <v>71</v>
      </c>
      <c r="B23" t="s">
        <v>46</v>
      </c>
      <c r="C23">
        <v>637491</v>
      </c>
      <c r="D23" s="7">
        <v>2017</v>
      </c>
      <c r="E23" s="7" t="s">
        <v>109</v>
      </c>
      <c r="F23" t="s">
        <v>108</v>
      </c>
    </row>
    <row r="24" spans="1:6" x14ac:dyDescent="0.3">
      <c r="A24" t="s">
        <v>72</v>
      </c>
      <c r="B24" t="s">
        <v>46</v>
      </c>
      <c r="C24">
        <v>752138</v>
      </c>
      <c r="D24" s="7">
        <v>2017</v>
      </c>
      <c r="E24" s="7" t="s">
        <v>110</v>
      </c>
      <c r="F24" t="s">
        <v>108</v>
      </c>
    </row>
    <row r="25" spans="1:6" x14ac:dyDescent="0.3">
      <c r="A25" t="s">
        <v>73</v>
      </c>
      <c r="B25" t="s">
        <v>46</v>
      </c>
      <c r="C25">
        <v>493363</v>
      </c>
      <c r="D25" s="7">
        <v>2017</v>
      </c>
      <c r="E25" s="7" t="s">
        <v>111</v>
      </c>
      <c r="F25" t="s">
        <v>108</v>
      </c>
    </row>
    <row r="26" spans="1:6" x14ac:dyDescent="0.3">
      <c r="A26" t="s">
        <v>74</v>
      </c>
      <c r="B26" t="s">
        <v>46</v>
      </c>
      <c r="C26">
        <v>428618</v>
      </c>
      <c r="D26" s="7">
        <v>2018</v>
      </c>
      <c r="E26" s="7" t="s">
        <v>107</v>
      </c>
      <c r="F26" t="s">
        <v>108</v>
      </c>
    </row>
    <row r="27" spans="1:6" x14ac:dyDescent="0.3">
      <c r="A27" t="s">
        <v>75</v>
      </c>
      <c r="B27" t="s">
        <v>46</v>
      </c>
      <c r="C27">
        <v>665643</v>
      </c>
      <c r="D27" s="7">
        <v>2018</v>
      </c>
      <c r="E27" s="7" t="s">
        <v>109</v>
      </c>
      <c r="F27" t="s">
        <v>108</v>
      </c>
    </row>
    <row r="28" spans="1:6" x14ac:dyDescent="0.3">
      <c r="A28" t="s">
        <v>76</v>
      </c>
      <c r="B28" t="s">
        <v>46</v>
      </c>
      <c r="C28">
        <v>773012</v>
      </c>
      <c r="D28" s="7">
        <v>2018</v>
      </c>
      <c r="E28" s="7" t="s">
        <v>110</v>
      </c>
      <c r="F28" t="s">
        <v>108</v>
      </c>
    </row>
    <row r="29" spans="1:6" x14ac:dyDescent="0.3">
      <c r="A29" t="s">
        <v>77</v>
      </c>
      <c r="B29" t="s">
        <v>46</v>
      </c>
      <c r="C29">
        <v>520533</v>
      </c>
      <c r="D29" s="7">
        <v>2018</v>
      </c>
      <c r="E29" s="7" t="s">
        <v>111</v>
      </c>
      <c r="F29" t="s">
        <v>108</v>
      </c>
    </row>
    <row r="30" spans="1:6" x14ac:dyDescent="0.3">
      <c r="A30" t="s">
        <v>78</v>
      </c>
      <c r="B30" t="s">
        <v>46</v>
      </c>
      <c r="C30">
        <v>474297</v>
      </c>
      <c r="D30" s="7">
        <v>2019</v>
      </c>
      <c r="E30" s="7" t="s">
        <v>107</v>
      </c>
      <c r="F30" t="s">
        <v>108</v>
      </c>
    </row>
    <row r="31" spans="1:6" x14ac:dyDescent="0.3">
      <c r="A31" t="s">
        <v>79</v>
      </c>
      <c r="B31" t="s">
        <v>46</v>
      </c>
      <c r="C31">
        <v>728548</v>
      </c>
      <c r="D31" s="7">
        <v>2019</v>
      </c>
      <c r="E31" s="7" t="s">
        <v>109</v>
      </c>
      <c r="F31" t="s">
        <v>108</v>
      </c>
    </row>
    <row r="32" spans="1:6" x14ac:dyDescent="0.3">
      <c r="A32" t="s">
        <v>80</v>
      </c>
      <c r="B32" t="s">
        <v>46</v>
      </c>
      <c r="C32">
        <v>832198</v>
      </c>
      <c r="D32" s="7">
        <v>2019</v>
      </c>
      <c r="E32" s="7" t="s">
        <v>110</v>
      </c>
      <c r="F32" t="s">
        <v>108</v>
      </c>
    </row>
    <row r="33" spans="1:6" x14ac:dyDescent="0.3">
      <c r="A33" t="s">
        <v>81</v>
      </c>
      <c r="B33" t="s">
        <v>46</v>
      </c>
      <c r="C33">
        <v>550423</v>
      </c>
      <c r="D33" s="7">
        <v>2019</v>
      </c>
      <c r="E33" s="7" t="s">
        <v>111</v>
      </c>
      <c r="F33" t="s">
        <v>108</v>
      </c>
    </row>
    <row r="34" spans="1:6" x14ac:dyDescent="0.3">
      <c r="A34" t="s">
        <v>82</v>
      </c>
      <c r="B34" t="s">
        <v>46</v>
      </c>
      <c r="C34">
        <v>397387</v>
      </c>
      <c r="D34" s="7">
        <v>2020</v>
      </c>
      <c r="E34" s="7" t="s">
        <v>107</v>
      </c>
      <c r="F34" t="s">
        <v>112</v>
      </c>
    </row>
    <row r="35" spans="1:6" x14ac:dyDescent="0.3">
      <c r="A35" t="s">
        <v>83</v>
      </c>
      <c r="B35" t="s">
        <v>46</v>
      </c>
      <c r="C35">
        <v>7879</v>
      </c>
      <c r="D35" s="7">
        <v>2020</v>
      </c>
      <c r="E35" s="7" t="s">
        <v>109</v>
      </c>
      <c r="F35" t="s">
        <v>112</v>
      </c>
    </row>
    <row r="36" spans="1:6" x14ac:dyDescent="0.3">
      <c r="A36" t="s">
        <v>84</v>
      </c>
      <c r="B36" t="s">
        <v>46</v>
      </c>
      <c r="C36">
        <v>90287</v>
      </c>
      <c r="D36" s="7">
        <v>2020</v>
      </c>
      <c r="E36" s="7" t="s">
        <v>110</v>
      </c>
      <c r="F36" t="s">
        <v>112</v>
      </c>
    </row>
    <row r="37" spans="1:6" x14ac:dyDescent="0.3">
      <c r="A37" t="s">
        <v>85</v>
      </c>
      <c r="B37" t="s">
        <v>46</v>
      </c>
      <c r="C37">
        <v>31461</v>
      </c>
      <c r="D37" s="7">
        <v>2020</v>
      </c>
      <c r="E37" s="7" t="s">
        <v>111</v>
      </c>
      <c r="F37" t="s">
        <v>112</v>
      </c>
    </row>
    <row r="38" spans="1:6" x14ac:dyDescent="0.3">
      <c r="A38" t="s">
        <v>86</v>
      </c>
      <c r="B38" t="s">
        <v>46</v>
      </c>
      <c r="C38">
        <v>8926</v>
      </c>
      <c r="D38" s="7">
        <v>2021</v>
      </c>
      <c r="E38" s="7" t="s">
        <v>107</v>
      </c>
      <c r="F38" t="s">
        <v>112</v>
      </c>
    </row>
    <row r="39" spans="1:6" x14ac:dyDescent="0.3">
      <c r="A39" t="s">
        <v>87</v>
      </c>
      <c r="B39" t="s">
        <v>46</v>
      </c>
      <c r="C39">
        <v>24931</v>
      </c>
      <c r="D39" s="7">
        <v>2021</v>
      </c>
      <c r="E39" s="7" t="s">
        <v>109</v>
      </c>
      <c r="F39" t="s">
        <v>112</v>
      </c>
    </row>
    <row r="40" spans="1:6" x14ac:dyDescent="0.3">
      <c r="A40" t="s">
        <v>88</v>
      </c>
      <c r="B40" t="s">
        <v>46</v>
      </c>
      <c r="C40">
        <v>133809</v>
      </c>
      <c r="D40" s="7">
        <v>2021</v>
      </c>
      <c r="E40" s="7" t="s">
        <v>110</v>
      </c>
      <c r="F40" t="s">
        <v>112</v>
      </c>
    </row>
    <row r="41" spans="1:6" x14ac:dyDescent="0.3">
      <c r="A41" t="s">
        <v>89</v>
      </c>
      <c r="B41" t="s">
        <v>46</v>
      </c>
      <c r="C41">
        <v>87349</v>
      </c>
      <c r="D41" s="7">
        <v>2021</v>
      </c>
      <c r="E41" s="7" t="s">
        <v>111</v>
      </c>
      <c r="F41" t="s">
        <v>112</v>
      </c>
    </row>
    <row r="42" spans="1:6" x14ac:dyDescent="0.3">
      <c r="A42" t="s">
        <v>90</v>
      </c>
      <c r="B42" t="s">
        <v>46</v>
      </c>
      <c r="C42">
        <v>288323</v>
      </c>
      <c r="D42" s="7">
        <v>2022</v>
      </c>
      <c r="E42" s="7" t="s">
        <v>107</v>
      </c>
      <c r="F42" t="s">
        <v>113</v>
      </c>
    </row>
    <row r="43" spans="1:6" x14ac:dyDescent="0.3">
      <c r="A43" t="s">
        <v>91</v>
      </c>
      <c r="B43" t="s">
        <v>46</v>
      </c>
      <c r="C43">
        <v>645215</v>
      </c>
      <c r="D43" s="7">
        <v>2022</v>
      </c>
      <c r="E43" s="7" t="s">
        <v>109</v>
      </c>
      <c r="F43" t="s">
        <v>113</v>
      </c>
    </row>
    <row r="44" spans="1:6" x14ac:dyDescent="0.3">
      <c r="A44" t="s">
        <v>92</v>
      </c>
      <c r="B44" t="s">
        <v>46</v>
      </c>
      <c r="C44">
        <v>767806</v>
      </c>
      <c r="D44" s="7">
        <v>2022</v>
      </c>
      <c r="E44" s="7" t="s">
        <v>110</v>
      </c>
      <c r="F44" t="s">
        <v>113</v>
      </c>
    </row>
    <row r="45" spans="1:6" x14ac:dyDescent="0.3">
      <c r="A45" t="s">
        <v>93</v>
      </c>
      <c r="B45" t="s">
        <v>46</v>
      </c>
      <c r="C45">
        <v>537111</v>
      </c>
      <c r="D45" s="7">
        <v>2022</v>
      </c>
      <c r="E45" s="7" t="s">
        <v>111</v>
      </c>
      <c r="F45" t="s">
        <v>113</v>
      </c>
    </row>
    <row r="46" spans="1:6" x14ac:dyDescent="0.3">
      <c r="A46" t="s">
        <v>94</v>
      </c>
      <c r="B46" t="s">
        <v>46</v>
      </c>
      <c r="C46">
        <v>499021</v>
      </c>
      <c r="D46" s="7">
        <v>2023</v>
      </c>
      <c r="E46" s="7" t="s">
        <v>107</v>
      </c>
      <c r="F46" t="s">
        <v>113</v>
      </c>
    </row>
    <row r="47" spans="1:6" x14ac:dyDescent="0.3">
      <c r="A47" t="s">
        <v>95</v>
      </c>
      <c r="B47" t="s">
        <v>46</v>
      </c>
      <c r="C47">
        <v>791720</v>
      </c>
      <c r="D47" s="7">
        <v>2023</v>
      </c>
      <c r="E47" s="7" t="s">
        <v>109</v>
      </c>
      <c r="F47" t="s">
        <v>113</v>
      </c>
    </row>
    <row r="48" spans="1:6" x14ac:dyDescent="0.3">
      <c r="A48" t="s">
        <v>96</v>
      </c>
      <c r="B48" t="s">
        <v>46</v>
      </c>
      <c r="C48">
        <v>866942</v>
      </c>
      <c r="D48" s="7">
        <v>2023</v>
      </c>
      <c r="E48" s="7" t="s">
        <v>110</v>
      </c>
      <c r="F48" t="s">
        <v>113</v>
      </c>
    </row>
    <row r="49" spans="1:6" x14ac:dyDescent="0.3">
      <c r="A49" t="s">
        <v>97</v>
      </c>
      <c r="B49" t="s">
        <v>46</v>
      </c>
      <c r="C49">
        <v>640341</v>
      </c>
      <c r="D49" s="7">
        <v>2023</v>
      </c>
      <c r="E49" s="7" t="s">
        <v>111</v>
      </c>
      <c r="F49" t="s">
        <v>113</v>
      </c>
    </row>
    <row r="50" spans="1:6" x14ac:dyDescent="0.3">
      <c r="A50" t="s">
        <v>98</v>
      </c>
      <c r="B50" t="s">
        <v>46</v>
      </c>
      <c r="C50">
        <v>601989</v>
      </c>
      <c r="D50" s="7">
        <v>2024</v>
      </c>
      <c r="E50" s="7" t="s">
        <v>107</v>
      </c>
      <c r="F50" t="s">
        <v>113</v>
      </c>
    </row>
    <row r="51" spans="1:6" x14ac:dyDescent="0.3">
      <c r="A51" t="s">
        <v>99</v>
      </c>
      <c r="B51" t="s">
        <v>46</v>
      </c>
      <c r="C51">
        <v>832446</v>
      </c>
      <c r="D51" s="7">
        <v>2024</v>
      </c>
      <c r="E51" s="7" t="s">
        <v>109</v>
      </c>
      <c r="F51" t="s">
        <v>113</v>
      </c>
    </row>
    <row r="52" spans="1:6" x14ac:dyDescent="0.3">
      <c r="A52" t="s">
        <v>100</v>
      </c>
      <c r="B52" t="s">
        <v>46</v>
      </c>
      <c r="C52">
        <v>963202</v>
      </c>
      <c r="D52" s="7">
        <v>2024</v>
      </c>
      <c r="E52" s="7" t="s">
        <v>110</v>
      </c>
      <c r="F52" t="s">
        <v>113</v>
      </c>
    </row>
    <row r="53" spans="1:6" x14ac:dyDescent="0.3">
      <c r="A53" t="s">
        <v>101</v>
      </c>
      <c r="B53" t="s">
        <v>46</v>
      </c>
      <c r="C53">
        <v>670812</v>
      </c>
      <c r="D53" s="7">
        <v>2024</v>
      </c>
      <c r="E53" s="7" t="s">
        <v>111</v>
      </c>
      <c r="F53" t="s">
        <v>113</v>
      </c>
    </row>
    <row r="54" spans="1:6" x14ac:dyDescent="0.3">
      <c r="A54" t="s">
        <v>102</v>
      </c>
      <c r="B54" t="s">
        <v>46</v>
      </c>
      <c r="C54">
        <v>648356</v>
      </c>
      <c r="D54" s="7">
        <v>2025</v>
      </c>
      <c r="E54" s="7" t="s">
        <v>107</v>
      </c>
      <c r="F54" t="s">
        <v>113</v>
      </c>
    </row>
    <row r="55" spans="1:6" x14ac:dyDescent="0.3">
      <c r="A55" t="s">
        <v>103</v>
      </c>
      <c r="B55" t="s">
        <v>46</v>
      </c>
      <c r="C55">
        <v>993437</v>
      </c>
      <c r="D55" s="7">
        <v>2025</v>
      </c>
      <c r="E55" s="7" t="s">
        <v>109</v>
      </c>
      <c r="F55" t="s">
        <v>113</v>
      </c>
    </row>
    <row r="56" spans="1:6" x14ac:dyDescent="0.3">
      <c r="D56" s="7"/>
      <c r="E56" s="7"/>
    </row>
    <row r="57" spans="1:6" x14ac:dyDescent="0.3">
      <c r="D57" s="7"/>
      <c r="E57" s="7"/>
    </row>
    <row r="58" spans="1:6" x14ac:dyDescent="0.3">
      <c r="D58" s="7"/>
      <c r="E58" s="7"/>
    </row>
    <row r="59" spans="1:6" x14ac:dyDescent="0.3">
      <c r="D59" s="7"/>
      <c r="E59" s="7"/>
    </row>
    <row r="60" spans="1:6" x14ac:dyDescent="0.3">
      <c r="D60" s="7"/>
      <c r="E60" s="7"/>
    </row>
    <row r="61" spans="1:6" x14ac:dyDescent="0.3">
      <c r="D61" s="7"/>
      <c r="E61" s="7"/>
    </row>
    <row r="62" spans="1:6" x14ac:dyDescent="0.3">
      <c r="D62" s="7"/>
      <c r="E62" s="7"/>
    </row>
    <row r="63" spans="1:6" x14ac:dyDescent="0.3">
      <c r="D63" s="7"/>
      <c r="E63" s="7"/>
    </row>
    <row r="64" spans="1:6" x14ac:dyDescent="0.3">
      <c r="D64" s="7"/>
      <c r="E64" s="7"/>
    </row>
    <row r="65" spans="4:5" x14ac:dyDescent="0.3">
      <c r="D65" s="7"/>
      <c r="E65" s="7"/>
    </row>
    <row r="66" spans="4:5" x14ac:dyDescent="0.3">
      <c r="D66" s="7"/>
      <c r="E66" s="7"/>
    </row>
    <row r="67" spans="4:5" x14ac:dyDescent="0.3">
      <c r="D67" s="7"/>
      <c r="E67" s="7"/>
    </row>
    <row r="68" spans="4:5" x14ac:dyDescent="0.3">
      <c r="D68" s="7"/>
      <c r="E68" s="7"/>
    </row>
    <row r="69" spans="4:5" x14ac:dyDescent="0.3">
      <c r="D69" s="7"/>
      <c r="E69" s="7"/>
    </row>
    <row r="70" spans="4:5" x14ac:dyDescent="0.3">
      <c r="D70" s="7"/>
      <c r="E70" s="7"/>
    </row>
    <row r="71" spans="4:5" x14ac:dyDescent="0.3">
      <c r="D71" s="7"/>
      <c r="E71" s="7"/>
    </row>
    <row r="72" spans="4:5" x14ac:dyDescent="0.3">
      <c r="D72" s="7"/>
      <c r="E72" s="7"/>
    </row>
    <row r="73" spans="4:5" x14ac:dyDescent="0.3">
      <c r="D73" s="7"/>
      <c r="E73" s="7"/>
    </row>
    <row r="74" spans="4:5" x14ac:dyDescent="0.3">
      <c r="D74" s="7"/>
      <c r="E74" s="7"/>
    </row>
    <row r="75" spans="4:5" x14ac:dyDescent="0.3">
      <c r="D75" s="7"/>
      <c r="E75" s="7"/>
    </row>
    <row r="76" spans="4:5" x14ac:dyDescent="0.3">
      <c r="D76" s="7"/>
      <c r="E76" s="7"/>
    </row>
    <row r="77" spans="4:5" x14ac:dyDescent="0.3">
      <c r="D77" s="7"/>
      <c r="E77" s="7"/>
    </row>
    <row r="78" spans="4:5" x14ac:dyDescent="0.3">
      <c r="D78" s="7"/>
      <c r="E78" s="7"/>
    </row>
    <row r="79" spans="4:5" x14ac:dyDescent="0.3">
      <c r="D79" s="7"/>
      <c r="E79" s="7"/>
    </row>
    <row r="80" spans="4:5" x14ac:dyDescent="0.3">
      <c r="D80" s="7"/>
      <c r="E80" s="7"/>
    </row>
    <row r="81" spans="4:5" x14ac:dyDescent="0.3">
      <c r="D81" s="7"/>
      <c r="E81" s="7"/>
    </row>
    <row r="82" spans="4:5" x14ac:dyDescent="0.3">
      <c r="D82" s="7"/>
      <c r="E82" s="7"/>
    </row>
    <row r="83" spans="4:5" x14ac:dyDescent="0.3">
      <c r="D83" s="7"/>
      <c r="E83" s="7"/>
    </row>
    <row r="84" spans="4:5" x14ac:dyDescent="0.3">
      <c r="D84" s="7"/>
      <c r="E84" s="7"/>
    </row>
    <row r="85" spans="4:5" x14ac:dyDescent="0.3">
      <c r="D85" s="7"/>
      <c r="E85" s="7"/>
    </row>
    <row r="86" spans="4:5" x14ac:dyDescent="0.3">
      <c r="D86" s="7"/>
      <c r="E86" s="7"/>
    </row>
    <row r="87" spans="4:5" x14ac:dyDescent="0.3">
      <c r="D87" s="7"/>
      <c r="E87" s="7"/>
    </row>
    <row r="88" spans="4:5" x14ac:dyDescent="0.3">
      <c r="D88" s="7"/>
      <c r="E88" s="7"/>
    </row>
    <row r="89" spans="4:5" x14ac:dyDescent="0.3">
      <c r="D89" s="7"/>
      <c r="E89" s="7"/>
    </row>
    <row r="90" spans="4:5" x14ac:dyDescent="0.3">
      <c r="D90" s="7"/>
      <c r="E90" s="7"/>
    </row>
    <row r="91" spans="4:5" x14ac:dyDescent="0.3">
      <c r="D91" s="7"/>
      <c r="E91" s="7"/>
    </row>
    <row r="92" spans="4:5" x14ac:dyDescent="0.3">
      <c r="D92" s="7"/>
      <c r="E92" s="7"/>
    </row>
    <row r="93" spans="4:5" x14ac:dyDescent="0.3">
      <c r="D93" s="7"/>
      <c r="E93" s="7"/>
    </row>
    <row r="94" spans="4:5" x14ac:dyDescent="0.3">
      <c r="D94" s="7"/>
      <c r="E94" s="7"/>
    </row>
    <row r="95" spans="4:5" x14ac:dyDescent="0.3">
      <c r="D95" s="7"/>
      <c r="E95" s="7"/>
    </row>
    <row r="96" spans="4:5" x14ac:dyDescent="0.3">
      <c r="D96" s="7"/>
      <c r="E96" s="7"/>
    </row>
    <row r="97" spans="4:5" x14ac:dyDescent="0.3">
      <c r="D97" s="7"/>
      <c r="E97" s="7"/>
    </row>
    <row r="98" spans="4:5" x14ac:dyDescent="0.3">
      <c r="D98" s="7"/>
      <c r="E98" s="7"/>
    </row>
    <row r="99" spans="4:5" x14ac:dyDescent="0.3">
      <c r="D99" s="7"/>
      <c r="E99" s="7"/>
    </row>
    <row r="100" spans="4:5" x14ac:dyDescent="0.3">
      <c r="D100" s="7"/>
      <c r="E100" s="7"/>
    </row>
    <row r="101" spans="4:5" x14ac:dyDescent="0.3">
      <c r="D101" s="7"/>
      <c r="E101" s="7"/>
    </row>
    <row r="102" spans="4:5" x14ac:dyDescent="0.3">
      <c r="D102" s="7"/>
      <c r="E102" s="7"/>
    </row>
    <row r="103" spans="4:5" x14ac:dyDescent="0.3">
      <c r="D103" s="7"/>
      <c r="E103" s="7"/>
    </row>
    <row r="104" spans="4:5" x14ac:dyDescent="0.3">
      <c r="D104" s="7"/>
      <c r="E104" s="7"/>
    </row>
    <row r="105" spans="4:5" x14ac:dyDescent="0.3">
      <c r="D105" s="7"/>
      <c r="E105" s="7"/>
    </row>
    <row r="106" spans="4:5" x14ac:dyDescent="0.3">
      <c r="D106" s="7"/>
      <c r="E106" s="7"/>
    </row>
    <row r="107" spans="4:5" x14ac:dyDescent="0.3">
      <c r="D107" s="7"/>
      <c r="E107" s="7"/>
    </row>
    <row r="108" spans="4:5" x14ac:dyDescent="0.3">
      <c r="D108" s="7"/>
      <c r="E108" s="7"/>
    </row>
    <row r="109" spans="4:5" x14ac:dyDescent="0.3">
      <c r="D109" s="7"/>
      <c r="E109" s="7"/>
    </row>
    <row r="110" spans="4:5" x14ac:dyDescent="0.3">
      <c r="D110" s="7"/>
      <c r="E110" s="7"/>
    </row>
    <row r="111" spans="4:5" x14ac:dyDescent="0.3">
      <c r="D111" s="7"/>
      <c r="E111" s="7"/>
    </row>
    <row r="112" spans="4:5" x14ac:dyDescent="0.3">
      <c r="D112" s="7"/>
      <c r="E112" s="7"/>
    </row>
    <row r="113" spans="4:5" x14ac:dyDescent="0.3">
      <c r="D113" s="7"/>
      <c r="E113" s="7"/>
    </row>
    <row r="114" spans="4:5" x14ac:dyDescent="0.3">
      <c r="D114" s="7"/>
      <c r="E114" s="7"/>
    </row>
    <row r="115" spans="4:5" x14ac:dyDescent="0.3">
      <c r="D115" s="7"/>
      <c r="E115" s="7"/>
    </row>
    <row r="116" spans="4:5" x14ac:dyDescent="0.3">
      <c r="D116" s="7"/>
      <c r="E116" s="7"/>
    </row>
    <row r="117" spans="4:5" x14ac:dyDescent="0.3">
      <c r="D117" s="7"/>
      <c r="E117" s="7"/>
    </row>
    <row r="118" spans="4:5" x14ac:dyDescent="0.3">
      <c r="D118" s="7"/>
      <c r="E118" s="7"/>
    </row>
    <row r="119" spans="4:5" x14ac:dyDescent="0.3">
      <c r="D119" s="7"/>
      <c r="E119" s="7"/>
    </row>
    <row r="120" spans="4:5" x14ac:dyDescent="0.3">
      <c r="D120" s="7"/>
      <c r="E120" s="7"/>
    </row>
    <row r="121" spans="4:5" x14ac:dyDescent="0.3">
      <c r="D121" s="7"/>
      <c r="E121" s="7"/>
    </row>
    <row r="122" spans="4:5" x14ac:dyDescent="0.3">
      <c r="D122" s="7"/>
      <c r="E122" s="7"/>
    </row>
    <row r="123" spans="4:5" x14ac:dyDescent="0.3">
      <c r="D123" s="7"/>
      <c r="E123" s="7"/>
    </row>
    <row r="124" spans="4:5" x14ac:dyDescent="0.3">
      <c r="D124" s="7"/>
      <c r="E124" s="7"/>
    </row>
    <row r="125" spans="4:5" x14ac:dyDescent="0.3">
      <c r="D125" s="7"/>
      <c r="E125" s="7"/>
    </row>
    <row r="126" spans="4:5" x14ac:dyDescent="0.3">
      <c r="D126" s="7"/>
      <c r="E126" s="7"/>
    </row>
    <row r="127" spans="4:5" x14ac:dyDescent="0.3">
      <c r="D127" s="7"/>
      <c r="E127" s="7"/>
    </row>
    <row r="128" spans="4:5" x14ac:dyDescent="0.3">
      <c r="D128" s="7"/>
      <c r="E128" s="7"/>
    </row>
    <row r="129" spans="4:5" x14ac:dyDescent="0.3">
      <c r="D129" s="7"/>
      <c r="E129" s="7"/>
    </row>
    <row r="130" spans="4:5" x14ac:dyDescent="0.3">
      <c r="D130" s="7"/>
      <c r="E130" s="7"/>
    </row>
    <row r="131" spans="4:5" x14ac:dyDescent="0.3">
      <c r="D131" s="7"/>
      <c r="E131" s="7"/>
    </row>
    <row r="132" spans="4:5" x14ac:dyDescent="0.3">
      <c r="D132" s="7"/>
      <c r="E132" s="7"/>
    </row>
    <row r="133" spans="4:5" x14ac:dyDescent="0.3">
      <c r="D133" s="7"/>
      <c r="E133" s="7"/>
    </row>
    <row r="134" spans="4:5" x14ac:dyDescent="0.3">
      <c r="D134" s="7"/>
      <c r="E134" s="7"/>
    </row>
    <row r="135" spans="4:5" x14ac:dyDescent="0.3">
      <c r="D135" s="7"/>
      <c r="E135" s="7"/>
    </row>
    <row r="136" spans="4:5" x14ac:dyDescent="0.3">
      <c r="D136" s="7"/>
      <c r="E136" s="7"/>
    </row>
    <row r="137" spans="4:5" x14ac:dyDescent="0.3">
      <c r="D137" s="7"/>
      <c r="E137" s="7"/>
    </row>
    <row r="138" spans="4:5" x14ac:dyDescent="0.3">
      <c r="D138" s="7"/>
      <c r="E138" s="7"/>
    </row>
    <row r="139" spans="4:5" x14ac:dyDescent="0.3">
      <c r="D139" s="7"/>
      <c r="E139" s="7"/>
    </row>
    <row r="140" spans="4:5" x14ac:dyDescent="0.3">
      <c r="D140" s="7"/>
      <c r="E140" s="7"/>
    </row>
    <row r="141" spans="4:5" x14ac:dyDescent="0.3">
      <c r="D141" s="7"/>
      <c r="E141" s="7"/>
    </row>
    <row r="142" spans="4:5" x14ac:dyDescent="0.3">
      <c r="D142" s="7"/>
      <c r="E142" s="7"/>
    </row>
    <row r="143" spans="4:5" x14ac:dyDescent="0.3">
      <c r="D143" s="7"/>
      <c r="E143" s="7"/>
    </row>
    <row r="144" spans="4:5" x14ac:dyDescent="0.3">
      <c r="D144" s="7"/>
      <c r="E144" s="7"/>
    </row>
    <row r="145" spans="4:5" x14ac:dyDescent="0.3">
      <c r="D145" s="7"/>
      <c r="E145" s="7"/>
    </row>
    <row r="146" spans="4:5" x14ac:dyDescent="0.3">
      <c r="D146" s="7"/>
      <c r="E146" s="7"/>
    </row>
    <row r="147" spans="4:5" x14ac:dyDescent="0.3">
      <c r="D147" s="7"/>
      <c r="E147" s="7"/>
    </row>
    <row r="148" spans="4:5" x14ac:dyDescent="0.3">
      <c r="D148" s="7"/>
      <c r="E148" s="7"/>
    </row>
    <row r="149" spans="4:5" x14ac:dyDescent="0.3">
      <c r="D149" s="7"/>
      <c r="E149" s="7"/>
    </row>
    <row r="150" spans="4:5" x14ac:dyDescent="0.3">
      <c r="D150" s="7"/>
      <c r="E150" s="7"/>
    </row>
    <row r="151" spans="4:5" x14ac:dyDescent="0.3">
      <c r="D151" s="7"/>
      <c r="E151" s="7"/>
    </row>
    <row r="152" spans="4:5" x14ac:dyDescent="0.3">
      <c r="D152" s="7"/>
      <c r="E152" s="7"/>
    </row>
    <row r="153" spans="4:5" x14ac:dyDescent="0.3">
      <c r="D153" s="7"/>
      <c r="E153" s="7"/>
    </row>
    <row r="154" spans="4:5" x14ac:dyDescent="0.3">
      <c r="D154" s="7"/>
      <c r="E154" s="7"/>
    </row>
    <row r="155" spans="4:5" x14ac:dyDescent="0.3">
      <c r="D155" s="7"/>
      <c r="E155" s="7"/>
    </row>
    <row r="156" spans="4:5" x14ac:dyDescent="0.3">
      <c r="D156" s="7"/>
      <c r="E156" s="7"/>
    </row>
    <row r="157" spans="4:5" x14ac:dyDescent="0.3">
      <c r="D157" s="7"/>
      <c r="E157" s="7"/>
    </row>
    <row r="158" spans="4:5" x14ac:dyDescent="0.3">
      <c r="D158" s="7"/>
      <c r="E158" s="7"/>
    </row>
    <row r="159" spans="4:5" x14ac:dyDescent="0.3">
      <c r="D159" s="7"/>
      <c r="E159" s="7"/>
    </row>
    <row r="160" spans="4:5" x14ac:dyDescent="0.3">
      <c r="D160" s="7"/>
      <c r="E160"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17DE8-E748-4967-B8A2-C1280BB1B53E}">
  <dimension ref="A1:F160"/>
  <sheetViews>
    <sheetView workbookViewId="0">
      <selection activeCell="J33" sqref="J33"/>
    </sheetView>
  </sheetViews>
  <sheetFormatPr defaultRowHeight="14.4" x14ac:dyDescent="0.3"/>
  <cols>
    <col min="6" max="6" width="10.5546875" bestFit="1" customWidth="1"/>
  </cols>
  <sheetData>
    <row r="1" spans="1:6" x14ac:dyDescent="0.3">
      <c r="A1" s="6" t="s">
        <v>105</v>
      </c>
      <c r="B1" s="6" t="s">
        <v>39</v>
      </c>
      <c r="C1" s="6" t="s">
        <v>106</v>
      </c>
      <c r="D1" s="6" t="s">
        <v>41</v>
      </c>
      <c r="E1" s="6" t="s">
        <v>42</v>
      </c>
      <c r="F1" s="6" t="s">
        <v>43</v>
      </c>
    </row>
    <row r="2" spans="1:6" x14ac:dyDescent="0.3">
      <c r="A2" t="s">
        <v>44</v>
      </c>
      <c r="B2" t="s">
        <v>48</v>
      </c>
      <c r="C2">
        <v>49557</v>
      </c>
      <c r="D2" s="7">
        <v>2012</v>
      </c>
      <c r="E2" s="7" t="s">
        <v>107</v>
      </c>
      <c r="F2" t="s">
        <v>108</v>
      </c>
    </row>
    <row r="3" spans="1:6" x14ac:dyDescent="0.3">
      <c r="A3" t="s">
        <v>51</v>
      </c>
      <c r="B3" t="s">
        <v>48</v>
      </c>
      <c r="C3">
        <v>81536</v>
      </c>
      <c r="D3" s="7">
        <v>2012</v>
      </c>
      <c r="E3" s="7" t="s">
        <v>109</v>
      </c>
      <c r="F3" t="s">
        <v>108</v>
      </c>
    </row>
    <row r="4" spans="1:6" x14ac:dyDescent="0.3">
      <c r="A4" t="s">
        <v>52</v>
      </c>
      <c r="B4" t="s">
        <v>48</v>
      </c>
      <c r="C4">
        <v>90438</v>
      </c>
      <c r="D4" s="7">
        <v>2012</v>
      </c>
      <c r="E4" s="7" t="s">
        <v>110</v>
      </c>
      <c r="F4" t="s">
        <v>108</v>
      </c>
    </row>
    <row r="5" spans="1:6" x14ac:dyDescent="0.3">
      <c r="A5" t="s">
        <v>53</v>
      </c>
      <c r="B5" t="s">
        <v>48</v>
      </c>
      <c r="C5">
        <v>64911</v>
      </c>
      <c r="D5" s="7">
        <v>2012</v>
      </c>
      <c r="E5" s="7" t="s">
        <v>111</v>
      </c>
      <c r="F5" t="s">
        <v>108</v>
      </c>
    </row>
    <row r="6" spans="1:6" x14ac:dyDescent="0.3">
      <c r="A6" t="s">
        <v>54</v>
      </c>
      <c r="B6" t="s">
        <v>48</v>
      </c>
      <c r="C6">
        <v>50391</v>
      </c>
      <c r="D6" s="7">
        <v>2013</v>
      </c>
      <c r="E6" s="7" t="s">
        <v>107</v>
      </c>
      <c r="F6" t="s">
        <v>108</v>
      </c>
    </row>
    <row r="7" spans="1:6" x14ac:dyDescent="0.3">
      <c r="A7" t="s">
        <v>55</v>
      </c>
      <c r="B7" t="s">
        <v>48</v>
      </c>
      <c r="C7">
        <v>89225</v>
      </c>
      <c r="D7" s="7">
        <v>2013</v>
      </c>
      <c r="E7" s="7" t="s">
        <v>109</v>
      </c>
      <c r="F7" t="s">
        <v>108</v>
      </c>
    </row>
    <row r="8" spans="1:6" x14ac:dyDescent="0.3">
      <c r="A8" t="s">
        <v>56</v>
      </c>
      <c r="B8" t="s">
        <v>48</v>
      </c>
      <c r="C8">
        <v>100314</v>
      </c>
      <c r="D8" s="7">
        <v>2013</v>
      </c>
      <c r="E8" s="7" t="s">
        <v>110</v>
      </c>
      <c r="F8" t="s">
        <v>108</v>
      </c>
    </row>
    <row r="9" spans="1:6" x14ac:dyDescent="0.3">
      <c r="A9" t="s">
        <v>57</v>
      </c>
      <c r="B9" t="s">
        <v>48</v>
      </c>
      <c r="C9">
        <v>66112</v>
      </c>
      <c r="D9" s="7">
        <v>2013</v>
      </c>
      <c r="E9" s="7" t="s">
        <v>111</v>
      </c>
      <c r="F9" t="s">
        <v>108</v>
      </c>
    </row>
    <row r="10" spans="1:6" x14ac:dyDescent="0.3">
      <c r="A10" t="s">
        <v>58</v>
      </c>
      <c r="B10" t="s">
        <v>48</v>
      </c>
      <c r="C10">
        <v>45956</v>
      </c>
      <c r="D10" s="7">
        <v>2014</v>
      </c>
      <c r="E10" s="7" t="s">
        <v>107</v>
      </c>
      <c r="F10" t="s">
        <v>108</v>
      </c>
    </row>
    <row r="11" spans="1:6" x14ac:dyDescent="0.3">
      <c r="A11" t="s">
        <v>59</v>
      </c>
      <c r="B11" t="s">
        <v>48</v>
      </c>
      <c r="C11">
        <v>84394</v>
      </c>
      <c r="D11" s="7">
        <v>2014</v>
      </c>
      <c r="E11" s="7" t="s">
        <v>109</v>
      </c>
      <c r="F11" t="s">
        <v>108</v>
      </c>
    </row>
    <row r="12" spans="1:6" x14ac:dyDescent="0.3">
      <c r="A12" t="s">
        <v>60</v>
      </c>
      <c r="B12" t="s">
        <v>48</v>
      </c>
      <c r="C12">
        <v>96963</v>
      </c>
      <c r="D12" s="7">
        <v>2014</v>
      </c>
      <c r="E12" s="7" t="s">
        <v>110</v>
      </c>
      <c r="F12" t="s">
        <v>108</v>
      </c>
    </row>
    <row r="13" spans="1:6" x14ac:dyDescent="0.3">
      <c r="A13" t="s">
        <v>61</v>
      </c>
      <c r="B13" t="s">
        <v>48</v>
      </c>
      <c r="C13">
        <v>67642</v>
      </c>
      <c r="D13" s="7">
        <v>2014</v>
      </c>
      <c r="E13" s="7" t="s">
        <v>111</v>
      </c>
      <c r="F13" t="s">
        <v>108</v>
      </c>
    </row>
    <row r="14" spans="1:6" x14ac:dyDescent="0.3">
      <c r="A14" t="s">
        <v>62</v>
      </c>
      <c r="B14" t="s">
        <v>48</v>
      </c>
      <c r="C14">
        <v>46806</v>
      </c>
      <c r="D14" s="7">
        <v>2015</v>
      </c>
      <c r="E14" s="7" t="s">
        <v>107</v>
      </c>
      <c r="F14" t="s">
        <v>108</v>
      </c>
    </row>
    <row r="15" spans="1:6" x14ac:dyDescent="0.3">
      <c r="A15" t="s">
        <v>63</v>
      </c>
      <c r="B15" t="s">
        <v>48</v>
      </c>
      <c r="C15">
        <v>88309</v>
      </c>
      <c r="D15" s="7">
        <v>2015</v>
      </c>
      <c r="E15" s="7" t="s">
        <v>109</v>
      </c>
      <c r="F15" t="s">
        <v>108</v>
      </c>
    </row>
    <row r="16" spans="1:6" x14ac:dyDescent="0.3">
      <c r="A16" t="s">
        <v>64</v>
      </c>
      <c r="B16" t="s">
        <v>48</v>
      </c>
      <c r="C16">
        <v>99683</v>
      </c>
      <c r="D16" s="7">
        <v>2015</v>
      </c>
      <c r="E16" s="7" t="s">
        <v>110</v>
      </c>
      <c r="F16" t="s">
        <v>108</v>
      </c>
    </row>
    <row r="17" spans="1:6" x14ac:dyDescent="0.3">
      <c r="A17" t="s">
        <v>65</v>
      </c>
      <c r="B17" t="s">
        <v>48</v>
      </c>
      <c r="C17">
        <v>68241</v>
      </c>
      <c r="D17" s="7">
        <v>2015</v>
      </c>
      <c r="E17" s="7" t="s">
        <v>111</v>
      </c>
      <c r="F17" t="s">
        <v>108</v>
      </c>
    </row>
    <row r="18" spans="1:6" x14ac:dyDescent="0.3">
      <c r="A18" t="s">
        <v>66</v>
      </c>
      <c r="B18" t="s">
        <v>48</v>
      </c>
      <c r="C18">
        <v>58771</v>
      </c>
      <c r="D18" s="7">
        <v>2016</v>
      </c>
      <c r="E18" s="7" t="s">
        <v>107</v>
      </c>
      <c r="F18" t="s">
        <v>108</v>
      </c>
    </row>
    <row r="19" spans="1:6" x14ac:dyDescent="0.3">
      <c r="A19" t="s">
        <v>67</v>
      </c>
      <c r="B19" t="s">
        <v>48</v>
      </c>
      <c r="C19">
        <v>91072</v>
      </c>
      <c r="D19" s="7">
        <v>2016</v>
      </c>
      <c r="E19" s="7" t="s">
        <v>109</v>
      </c>
      <c r="F19" t="s">
        <v>108</v>
      </c>
    </row>
    <row r="20" spans="1:6" x14ac:dyDescent="0.3">
      <c r="A20" t="s">
        <v>68</v>
      </c>
      <c r="B20" t="s">
        <v>48</v>
      </c>
      <c r="C20">
        <v>104956</v>
      </c>
      <c r="D20" s="7">
        <v>2016</v>
      </c>
      <c r="E20" s="7" t="s">
        <v>110</v>
      </c>
      <c r="F20" t="s">
        <v>108</v>
      </c>
    </row>
    <row r="21" spans="1:6" x14ac:dyDescent="0.3">
      <c r="A21" t="s">
        <v>69</v>
      </c>
      <c r="B21" t="s">
        <v>48</v>
      </c>
      <c r="C21">
        <v>70871</v>
      </c>
      <c r="D21" s="7">
        <v>2016</v>
      </c>
      <c r="E21" s="7" t="s">
        <v>111</v>
      </c>
      <c r="F21" t="s">
        <v>108</v>
      </c>
    </row>
    <row r="22" spans="1:6" x14ac:dyDescent="0.3">
      <c r="A22" t="s">
        <v>70</v>
      </c>
      <c r="B22" t="s">
        <v>48</v>
      </c>
      <c r="C22">
        <v>59034</v>
      </c>
      <c r="D22" s="7">
        <v>2017</v>
      </c>
      <c r="E22" s="7" t="s">
        <v>107</v>
      </c>
      <c r="F22" t="s">
        <v>108</v>
      </c>
    </row>
    <row r="23" spans="1:6" x14ac:dyDescent="0.3">
      <c r="A23" t="s">
        <v>71</v>
      </c>
      <c r="B23" t="s">
        <v>48</v>
      </c>
      <c r="C23">
        <v>98536</v>
      </c>
      <c r="D23" s="7">
        <v>2017</v>
      </c>
      <c r="E23" s="7" t="s">
        <v>109</v>
      </c>
      <c r="F23" t="s">
        <v>108</v>
      </c>
    </row>
    <row r="24" spans="1:6" x14ac:dyDescent="0.3">
      <c r="A24" t="s">
        <v>72</v>
      </c>
      <c r="B24" t="s">
        <v>48</v>
      </c>
      <c r="C24">
        <v>102166</v>
      </c>
      <c r="D24" s="7">
        <v>2017</v>
      </c>
      <c r="E24" s="7" t="s">
        <v>110</v>
      </c>
      <c r="F24" t="s">
        <v>108</v>
      </c>
    </row>
    <row r="25" spans="1:6" x14ac:dyDescent="0.3">
      <c r="A25" t="s">
        <v>73</v>
      </c>
      <c r="B25" t="s">
        <v>48</v>
      </c>
      <c r="C25">
        <v>75744</v>
      </c>
      <c r="D25" s="7">
        <v>2017</v>
      </c>
      <c r="E25" s="7" t="s">
        <v>111</v>
      </c>
      <c r="F25" t="s">
        <v>108</v>
      </c>
    </row>
    <row r="26" spans="1:6" x14ac:dyDescent="0.3">
      <c r="A26" t="s">
        <v>74</v>
      </c>
      <c r="B26" t="s">
        <v>48</v>
      </c>
      <c r="C26">
        <v>65439</v>
      </c>
      <c r="D26" s="7">
        <v>2018</v>
      </c>
      <c r="E26" s="7" t="s">
        <v>107</v>
      </c>
      <c r="F26" t="s">
        <v>108</v>
      </c>
    </row>
    <row r="27" spans="1:6" x14ac:dyDescent="0.3">
      <c r="A27" t="s">
        <v>75</v>
      </c>
      <c r="B27" t="s">
        <v>48</v>
      </c>
      <c r="C27">
        <v>103617</v>
      </c>
      <c r="D27" s="7">
        <v>2018</v>
      </c>
      <c r="E27" s="7" t="s">
        <v>109</v>
      </c>
      <c r="F27" t="s">
        <v>108</v>
      </c>
    </row>
    <row r="28" spans="1:6" x14ac:dyDescent="0.3">
      <c r="A28" t="s">
        <v>76</v>
      </c>
      <c r="B28" t="s">
        <v>48</v>
      </c>
      <c r="C28">
        <v>114010</v>
      </c>
      <c r="D28" s="7">
        <v>2018</v>
      </c>
      <c r="E28" s="7" t="s">
        <v>110</v>
      </c>
      <c r="F28" t="s">
        <v>108</v>
      </c>
    </row>
    <row r="29" spans="1:6" x14ac:dyDescent="0.3">
      <c r="A29" t="s">
        <v>77</v>
      </c>
      <c r="B29" t="s">
        <v>48</v>
      </c>
      <c r="C29">
        <v>82273</v>
      </c>
      <c r="D29" s="7">
        <v>2018</v>
      </c>
      <c r="E29" s="7" t="s">
        <v>111</v>
      </c>
      <c r="F29" t="s">
        <v>108</v>
      </c>
    </row>
    <row r="30" spans="1:6" x14ac:dyDescent="0.3">
      <c r="A30" t="s">
        <v>78</v>
      </c>
      <c r="B30" t="s">
        <v>48</v>
      </c>
      <c r="C30">
        <v>68606</v>
      </c>
      <c r="D30" s="7">
        <v>2019</v>
      </c>
      <c r="E30" s="7" t="s">
        <v>107</v>
      </c>
      <c r="F30" t="s">
        <v>108</v>
      </c>
    </row>
    <row r="31" spans="1:6" x14ac:dyDescent="0.3">
      <c r="A31" t="s">
        <v>79</v>
      </c>
      <c r="B31" t="s">
        <v>48</v>
      </c>
      <c r="C31">
        <v>102534</v>
      </c>
      <c r="D31" s="7">
        <v>2019</v>
      </c>
      <c r="E31" s="7" t="s">
        <v>109</v>
      </c>
      <c r="F31" t="s">
        <v>108</v>
      </c>
    </row>
    <row r="32" spans="1:6" x14ac:dyDescent="0.3">
      <c r="A32" t="s">
        <v>80</v>
      </c>
      <c r="B32" t="s">
        <v>48</v>
      </c>
      <c r="C32">
        <v>116018</v>
      </c>
      <c r="D32" s="7">
        <v>2019</v>
      </c>
      <c r="E32" s="7" t="s">
        <v>110</v>
      </c>
      <c r="F32" t="s">
        <v>108</v>
      </c>
    </row>
    <row r="33" spans="1:6" x14ac:dyDescent="0.3">
      <c r="A33" t="s">
        <v>81</v>
      </c>
      <c r="B33" t="s">
        <v>48</v>
      </c>
      <c r="C33">
        <v>82678</v>
      </c>
      <c r="D33" s="7">
        <v>2019</v>
      </c>
      <c r="E33" s="7" t="s">
        <v>111</v>
      </c>
      <c r="F33" t="s">
        <v>108</v>
      </c>
    </row>
    <row r="34" spans="1:6" x14ac:dyDescent="0.3">
      <c r="A34" t="s">
        <v>82</v>
      </c>
      <c r="B34" t="s">
        <v>48</v>
      </c>
      <c r="C34">
        <v>55763</v>
      </c>
      <c r="D34" s="7">
        <v>2020</v>
      </c>
      <c r="E34" s="7" t="s">
        <v>107</v>
      </c>
      <c r="F34" t="s">
        <v>112</v>
      </c>
    </row>
    <row r="35" spans="1:6" x14ac:dyDescent="0.3">
      <c r="A35" t="s">
        <v>83</v>
      </c>
      <c r="B35" t="s">
        <v>48</v>
      </c>
      <c r="C35">
        <v>808</v>
      </c>
      <c r="D35" s="7">
        <v>2020</v>
      </c>
      <c r="E35" s="7" t="s">
        <v>109</v>
      </c>
      <c r="F35" t="s">
        <v>112</v>
      </c>
    </row>
    <row r="36" spans="1:6" x14ac:dyDescent="0.3">
      <c r="A36" t="s">
        <v>84</v>
      </c>
      <c r="B36" t="s">
        <v>48</v>
      </c>
      <c r="C36">
        <v>19968</v>
      </c>
      <c r="D36" s="7">
        <v>2020</v>
      </c>
      <c r="E36" s="7" t="s">
        <v>110</v>
      </c>
      <c r="F36" t="s">
        <v>112</v>
      </c>
    </row>
    <row r="37" spans="1:6" x14ac:dyDescent="0.3">
      <c r="A37" t="s">
        <v>85</v>
      </c>
      <c r="B37" t="s">
        <v>48</v>
      </c>
      <c r="C37">
        <v>6420</v>
      </c>
      <c r="D37" s="7">
        <v>2020</v>
      </c>
      <c r="E37" s="7" t="s">
        <v>111</v>
      </c>
      <c r="F37" t="s">
        <v>112</v>
      </c>
    </row>
    <row r="38" spans="1:6" x14ac:dyDescent="0.3">
      <c r="A38" t="s">
        <v>86</v>
      </c>
      <c r="B38" t="s">
        <v>48</v>
      </c>
      <c r="C38">
        <v>1988</v>
      </c>
      <c r="D38" s="7">
        <v>2021</v>
      </c>
      <c r="E38" s="7" t="s">
        <v>107</v>
      </c>
      <c r="F38" t="s">
        <v>112</v>
      </c>
    </row>
    <row r="39" spans="1:6" x14ac:dyDescent="0.3">
      <c r="A39" t="s">
        <v>87</v>
      </c>
      <c r="B39" t="s">
        <v>48</v>
      </c>
      <c r="C39">
        <v>4301</v>
      </c>
      <c r="D39" s="7">
        <v>2021</v>
      </c>
      <c r="E39" s="7" t="s">
        <v>109</v>
      </c>
      <c r="F39" t="s">
        <v>112</v>
      </c>
    </row>
    <row r="40" spans="1:6" x14ac:dyDescent="0.3">
      <c r="A40" t="s">
        <v>88</v>
      </c>
      <c r="B40" t="s">
        <v>48</v>
      </c>
      <c r="C40">
        <v>45426</v>
      </c>
      <c r="D40" s="7">
        <v>2021</v>
      </c>
      <c r="E40" s="7" t="s">
        <v>110</v>
      </c>
      <c r="F40" t="s">
        <v>112</v>
      </c>
    </row>
    <row r="41" spans="1:6" x14ac:dyDescent="0.3">
      <c r="A41" t="s">
        <v>89</v>
      </c>
      <c r="B41" t="s">
        <v>48</v>
      </c>
      <c r="C41">
        <v>63683</v>
      </c>
      <c r="D41" s="7">
        <v>2021</v>
      </c>
      <c r="E41" s="7" t="s">
        <v>111</v>
      </c>
      <c r="F41" t="s">
        <v>112</v>
      </c>
    </row>
    <row r="42" spans="1:6" x14ac:dyDescent="0.3">
      <c r="A42" t="s">
        <v>90</v>
      </c>
      <c r="B42" t="s">
        <v>48</v>
      </c>
      <c r="C42">
        <v>44836</v>
      </c>
      <c r="D42" s="7">
        <v>2022</v>
      </c>
      <c r="E42" s="7" t="s">
        <v>107</v>
      </c>
      <c r="F42" t="s">
        <v>113</v>
      </c>
    </row>
    <row r="43" spans="1:6" x14ac:dyDescent="0.3">
      <c r="A43" t="s">
        <v>91</v>
      </c>
      <c r="B43" t="s">
        <v>48</v>
      </c>
      <c r="C43">
        <v>102093</v>
      </c>
      <c r="D43" s="7">
        <v>2022</v>
      </c>
      <c r="E43" s="7" t="s">
        <v>109</v>
      </c>
      <c r="F43" t="s">
        <v>113</v>
      </c>
    </row>
    <row r="44" spans="1:6" x14ac:dyDescent="0.3">
      <c r="A44" t="s">
        <v>92</v>
      </c>
      <c r="B44" t="s">
        <v>48</v>
      </c>
      <c r="C44">
        <v>118069</v>
      </c>
      <c r="D44" s="7">
        <v>2022</v>
      </c>
      <c r="E44" s="7" t="s">
        <v>110</v>
      </c>
      <c r="F44" t="s">
        <v>113</v>
      </c>
    </row>
    <row r="45" spans="1:6" x14ac:dyDescent="0.3">
      <c r="A45" t="s">
        <v>93</v>
      </c>
      <c r="B45" t="s">
        <v>48</v>
      </c>
      <c r="C45">
        <v>90045</v>
      </c>
      <c r="D45" s="7">
        <v>2022</v>
      </c>
      <c r="E45" s="7" t="s">
        <v>111</v>
      </c>
      <c r="F45" t="s">
        <v>113</v>
      </c>
    </row>
    <row r="46" spans="1:6" x14ac:dyDescent="0.3">
      <c r="A46" t="s">
        <v>94</v>
      </c>
      <c r="B46" t="s">
        <v>48</v>
      </c>
      <c r="C46">
        <v>72347</v>
      </c>
      <c r="D46" s="7">
        <v>2023</v>
      </c>
      <c r="E46" s="7" t="s">
        <v>107</v>
      </c>
      <c r="F46" t="s">
        <v>113</v>
      </c>
    </row>
    <row r="47" spans="1:6" x14ac:dyDescent="0.3">
      <c r="A47" t="s">
        <v>95</v>
      </c>
      <c r="B47" t="s">
        <v>48</v>
      </c>
      <c r="C47">
        <v>117608</v>
      </c>
      <c r="D47" s="7">
        <v>2023</v>
      </c>
      <c r="E47" s="7" t="s">
        <v>109</v>
      </c>
      <c r="F47" t="s">
        <v>113</v>
      </c>
    </row>
    <row r="48" spans="1:6" x14ac:dyDescent="0.3">
      <c r="A48" t="s">
        <v>96</v>
      </c>
      <c r="B48" t="s">
        <v>48</v>
      </c>
      <c r="C48">
        <v>133729</v>
      </c>
      <c r="D48" s="7">
        <v>2023</v>
      </c>
      <c r="E48" s="7" t="s">
        <v>110</v>
      </c>
      <c r="F48" t="s">
        <v>113</v>
      </c>
    </row>
    <row r="49" spans="1:6" x14ac:dyDescent="0.3">
      <c r="A49" t="s">
        <v>97</v>
      </c>
      <c r="B49" t="s">
        <v>48</v>
      </c>
      <c r="C49">
        <v>90887</v>
      </c>
      <c r="D49" s="7">
        <v>2023</v>
      </c>
      <c r="E49" s="7" t="s">
        <v>111</v>
      </c>
      <c r="F49" t="s">
        <v>113</v>
      </c>
    </row>
    <row r="50" spans="1:6" x14ac:dyDescent="0.3">
      <c r="A50" t="s">
        <v>98</v>
      </c>
      <c r="B50" t="s">
        <v>48</v>
      </c>
      <c r="C50">
        <v>71277</v>
      </c>
      <c r="D50" s="7">
        <v>2024</v>
      </c>
      <c r="E50" s="7" t="s">
        <v>107</v>
      </c>
      <c r="F50" t="s">
        <v>113</v>
      </c>
    </row>
    <row r="51" spans="1:6" x14ac:dyDescent="0.3">
      <c r="A51" t="s">
        <v>99</v>
      </c>
      <c r="B51" t="s">
        <v>48</v>
      </c>
      <c r="C51">
        <v>113094</v>
      </c>
      <c r="D51" s="7">
        <v>2024</v>
      </c>
      <c r="E51" s="7" t="s">
        <v>109</v>
      </c>
      <c r="F51" t="s">
        <v>113</v>
      </c>
    </row>
    <row r="52" spans="1:6" x14ac:dyDescent="0.3">
      <c r="A52" t="s">
        <v>100</v>
      </c>
      <c r="B52" t="s">
        <v>48</v>
      </c>
      <c r="C52">
        <v>135505</v>
      </c>
      <c r="D52" s="7">
        <v>2024</v>
      </c>
      <c r="E52" s="7" t="s">
        <v>110</v>
      </c>
      <c r="F52" t="s">
        <v>113</v>
      </c>
    </row>
    <row r="53" spans="1:6" x14ac:dyDescent="0.3">
      <c r="A53" t="s">
        <v>101</v>
      </c>
      <c r="B53" t="s">
        <v>48</v>
      </c>
      <c r="C53">
        <v>92158</v>
      </c>
      <c r="D53" s="7">
        <v>2024</v>
      </c>
      <c r="E53" s="7" t="s">
        <v>111</v>
      </c>
      <c r="F53" t="s">
        <v>113</v>
      </c>
    </row>
    <row r="54" spans="1:6" x14ac:dyDescent="0.3">
      <c r="A54" t="s">
        <v>102</v>
      </c>
      <c r="B54" t="s">
        <v>48</v>
      </c>
      <c r="C54">
        <v>72175</v>
      </c>
      <c r="D54" s="7">
        <v>2025</v>
      </c>
      <c r="E54" s="7" t="s">
        <v>107</v>
      </c>
      <c r="F54" t="s">
        <v>113</v>
      </c>
    </row>
    <row r="55" spans="1:6" x14ac:dyDescent="0.3">
      <c r="A55" t="s">
        <v>103</v>
      </c>
      <c r="B55" t="s">
        <v>48</v>
      </c>
      <c r="C55">
        <v>126964</v>
      </c>
      <c r="D55" s="7">
        <v>2025</v>
      </c>
      <c r="E55" s="7" t="s">
        <v>109</v>
      </c>
      <c r="F55" t="s">
        <v>113</v>
      </c>
    </row>
    <row r="56" spans="1:6" x14ac:dyDescent="0.3">
      <c r="D56" s="7"/>
      <c r="E56" s="7"/>
    </row>
    <row r="57" spans="1:6" x14ac:dyDescent="0.3">
      <c r="D57" s="7"/>
      <c r="E57" s="7"/>
    </row>
    <row r="58" spans="1:6" x14ac:dyDescent="0.3">
      <c r="D58" s="7"/>
      <c r="E58" s="7"/>
    </row>
    <row r="59" spans="1:6" x14ac:dyDescent="0.3">
      <c r="D59" s="7"/>
      <c r="E59" s="7"/>
    </row>
    <row r="60" spans="1:6" x14ac:dyDescent="0.3">
      <c r="D60" s="7"/>
      <c r="E60" s="7"/>
    </row>
    <row r="61" spans="1:6" x14ac:dyDescent="0.3">
      <c r="D61" s="7"/>
      <c r="E61" s="7"/>
    </row>
    <row r="62" spans="1:6" x14ac:dyDescent="0.3">
      <c r="D62" s="7"/>
      <c r="E62" s="7"/>
    </row>
    <row r="63" spans="1:6" x14ac:dyDescent="0.3">
      <c r="D63" s="7"/>
      <c r="E63" s="7"/>
    </row>
    <row r="64" spans="1:6" x14ac:dyDescent="0.3">
      <c r="D64" s="7"/>
      <c r="E64" s="7"/>
    </row>
    <row r="65" spans="4:5" x14ac:dyDescent="0.3">
      <c r="D65" s="7"/>
      <c r="E65" s="7"/>
    </row>
    <row r="66" spans="4:5" x14ac:dyDescent="0.3">
      <c r="D66" s="7"/>
      <c r="E66" s="7"/>
    </row>
    <row r="67" spans="4:5" x14ac:dyDescent="0.3">
      <c r="D67" s="7"/>
      <c r="E67" s="7"/>
    </row>
    <row r="68" spans="4:5" x14ac:dyDescent="0.3">
      <c r="D68" s="7"/>
      <c r="E68" s="7"/>
    </row>
    <row r="69" spans="4:5" x14ac:dyDescent="0.3">
      <c r="D69" s="7"/>
      <c r="E69" s="7"/>
    </row>
    <row r="70" spans="4:5" x14ac:dyDescent="0.3">
      <c r="D70" s="7"/>
      <c r="E70" s="7"/>
    </row>
    <row r="71" spans="4:5" x14ac:dyDescent="0.3">
      <c r="D71" s="7"/>
      <c r="E71" s="7"/>
    </row>
    <row r="72" spans="4:5" x14ac:dyDescent="0.3">
      <c r="D72" s="7"/>
      <c r="E72" s="7"/>
    </row>
    <row r="73" spans="4:5" x14ac:dyDescent="0.3">
      <c r="D73" s="7"/>
      <c r="E73" s="7"/>
    </row>
    <row r="74" spans="4:5" x14ac:dyDescent="0.3">
      <c r="D74" s="7"/>
      <c r="E74" s="7"/>
    </row>
    <row r="75" spans="4:5" x14ac:dyDescent="0.3">
      <c r="D75" s="7"/>
      <c r="E75" s="7"/>
    </row>
    <row r="76" spans="4:5" x14ac:dyDescent="0.3">
      <c r="D76" s="7"/>
      <c r="E76" s="7"/>
    </row>
    <row r="77" spans="4:5" x14ac:dyDescent="0.3">
      <c r="D77" s="7"/>
      <c r="E77" s="7"/>
    </row>
    <row r="78" spans="4:5" x14ac:dyDescent="0.3">
      <c r="D78" s="7"/>
      <c r="E78" s="7"/>
    </row>
    <row r="79" spans="4:5" x14ac:dyDescent="0.3">
      <c r="D79" s="7"/>
      <c r="E79" s="7"/>
    </row>
    <row r="80" spans="4:5" x14ac:dyDescent="0.3">
      <c r="D80" s="7"/>
      <c r="E80" s="7"/>
    </row>
    <row r="81" spans="4:5" x14ac:dyDescent="0.3">
      <c r="D81" s="7"/>
      <c r="E81" s="7"/>
    </row>
    <row r="82" spans="4:5" x14ac:dyDescent="0.3">
      <c r="D82" s="7"/>
      <c r="E82" s="7"/>
    </row>
    <row r="83" spans="4:5" x14ac:dyDescent="0.3">
      <c r="D83" s="7"/>
      <c r="E83" s="7"/>
    </row>
    <row r="84" spans="4:5" x14ac:dyDescent="0.3">
      <c r="D84" s="7"/>
      <c r="E84" s="7"/>
    </row>
    <row r="85" spans="4:5" x14ac:dyDescent="0.3">
      <c r="D85" s="7"/>
      <c r="E85" s="7"/>
    </row>
    <row r="86" spans="4:5" x14ac:dyDescent="0.3">
      <c r="D86" s="7"/>
      <c r="E86" s="7"/>
    </row>
    <row r="87" spans="4:5" x14ac:dyDescent="0.3">
      <c r="D87" s="7"/>
      <c r="E87" s="7"/>
    </row>
    <row r="88" spans="4:5" x14ac:dyDescent="0.3">
      <c r="D88" s="7"/>
      <c r="E88" s="7"/>
    </row>
    <row r="89" spans="4:5" x14ac:dyDescent="0.3">
      <c r="D89" s="7"/>
      <c r="E89" s="7"/>
    </row>
    <row r="90" spans="4:5" x14ac:dyDescent="0.3">
      <c r="D90" s="7"/>
      <c r="E90" s="7"/>
    </row>
    <row r="91" spans="4:5" x14ac:dyDescent="0.3">
      <c r="D91" s="7"/>
      <c r="E91" s="7"/>
    </row>
    <row r="92" spans="4:5" x14ac:dyDescent="0.3">
      <c r="D92" s="7"/>
      <c r="E92" s="7"/>
    </row>
    <row r="93" spans="4:5" x14ac:dyDescent="0.3">
      <c r="D93" s="7"/>
      <c r="E93" s="7"/>
    </row>
    <row r="94" spans="4:5" x14ac:dyDescent="0.3">
      <c r="D94" s="7"/>
      <c r="E94" s="7"/>
    </row>
    <row r="95" spans="4:5" x14ac:dyDescent="0.3">
      <c r="D95" s="7"/>
      <c r="E95" s="7"/>
    </row>
    <row r="96" spans="4:5" x14ac:dyDescent="0.3">
      <c r="D96" s="7"/>
      <c r="E96" s="7"/>
    </row>
    <row r="97" spans="4:5" x14ac:dyDescent="0.3">
      <c r="D97" s="7"/>
      <c r="E97" s="7"/>
    </row>
    <row r="98" spans="4:5" x14ac:dyDescent="0.3">
      <c r="D98" s="7"/>
      <c r="E98" s="7"/>
    </row>
    <row r="99" spans="4:5" x14ac:dyDescent="0.3">
      <c r="D99" s="7"/>
      <c r="E99" s="7"/>
    </row>
    <row r="100" spans="4:5" x14ac:dyDescent="0.3">
      <c r="D100" s="7"/>
      <c r="E100" s="7"/>
    </row>
    <row r="101" spans="4:5" x14ac:dyDescent="0.3">
      <c r="D101" s="7"/>
      <c r="E101" s="7"/>
    </row>
    <row r="102" spans="4:5" x14ac:dyDescent="0.3">
      <c r="D102" s="7"/>
      <c r="E102" s="7"/>
    </row>
    <row r="103" spans="4:5" x14ac:dyDescent="0.3">
      <c r="D103" s="7"/>
      <c r="E103" s="7"/>
    </row>
    <row r="104" spans="4:5" x14ac:dyDescent="0.3">
      <c r="D104" s="7"/>
      <c r="E104" s="7"/>
    </row>
    <row r="105" spans="4:5" x14ac:dyDescent="0.3">
      <c r="D105" s="7"/>
      <c r="E105" s="7"/>
    </row>
    <row r="106" spans="4:5" x14ac:dyDescent="0.3">
      <c r="D106" s="7"/>
      <c r="E106" s="7"/>
    </row>
    <row r="107" spans="4:5" x14ac:dyDescent="0.3">
      <c r="D107" s="7"/>
      <c r="E107" s="7"/>
    </row>
    <row r="108" spans="4:5" x14ac:dyDescent="0.3">
      <c r="D108" s="7"/>
      <c r="E108" s="7"/>
    </row>
    <row r="109" spans="4:5" x14ac:dyDescent="0.3">
      <c r="D109" s="7"/>
      <c r="E109" s="7"/>
    </row>
    <row r="110" spans="4:5" x14ac:dyDescent="0.3">
      <c r="D110" s="7"/>
      <c r="E110" s="7"/>
    </row>
    <row r="111" spans="4:5" x14ac:dyDescent="0.3">
      <c r="D111" s="7"/>
      <c r="E111" s="7"/>
    </row>
    <row r="112" spans="4:5" x14ac:dyDescent="0.3">
      <c r="D112" s="7"/>
      <c r="E112" s="7"/>
    </row>
    <row r="113" spans="4:5" x14ac:dyDescent="0.3">
      <c r="D113" s="7"/>
      <c r="E113" s="7"/>
    </row>
    <row r="114" spans="4:5" x14ac:dyDescent="0.3">
      <c r="D114" s="7"/>
      <c r="E114" s="7"/>
    </row>
    <row r="115" spans="4:5" x14ac:dyDescent="0.3">
      <c r="D115" s="7"/>
      <c r="E115" s="7"/>
    </row>
    <row r="116" spans="4:5" x14ac:dyDescent="0.3">
      <c r="D116" s="7"/>
      <c r="E116" s="7"/>
    </row>
    <row r="117" spans="4:5" x14ac:dyDescent="0.3">
      <c r="D117" s="7"/>
      <c r="E117" s="7"/>
    </row>
    <row r="118" spans="4:5" x14ac:dyDescent="0.3">
      <c r="D118" s="7"/>
      <c r="E118" s="7"/>
    </row>
    <row r="119" spans="4:5" x14ac:dyDescent="0.3">
      <c r="D119" s="7"/>
      <c r="E119" s="7"/>
    </row>
    <row r="120" spans="4:5" x14ac:dyDescent="0.3">
      <c r="D120" s="7"/>
      <c r="E120" s="7"/>
    </row>
    <row r="121" spans="4:5" x14ac:dyDescent="0.3">
      <c r="D121" s="7"/>
      <c r="E121" s="7"/>
    </row>
    <row r="122" spans="4:5" x14ac:dyDescent="0.3">
      <c r="D122" s="7"/>
      <c r="E122" s="7"/>
    </row>
    <row r="123" spans="4:5" x14ac:dyDescent="0.3">
      <c r="D123" s="7"/>
      <c r="E123" s="7"/>
    </row>
    <row r="124" spans="4:5" x14ac:dyDescent="0.3">
      <c r="D124" s="7"/>
      <c r="E124" s="7"/>
    </row>
    <row r="125" spans="4:5" x14ac:dyDescent="0.3">
      <c r="D125" s="7"/>
      <c r="E125" s="7"/>
    </row>
    <row r="126" spans="4:5" x14ac:dyDescent="0.3">
      <c r="D126" s="7"/>
      <c r="E126" s="7"/>
    </row>
    <row r="127" spans="4:5" x14ac:dyDescent="0.3">
      <c r="D127" s="7"/>
      <c r="E127" s="7"/>
    </row>
    <row r="128" spans="4:5" x14ac:dyDescent="0.3">
      <c r="D128" s="7"/>
      <c r="E128" s="7"/>
    </row>
    <row r="129" spans="4:5" x14ac:dyDescent="0.3">
      <c r="D129" s="7"/>
      <c r="E129" s="7"/>
    </row>
    <row r="130" spans="4:5" x14ac:dyDescent="0.3">
      <c r="D130" s="7"/>
      <c r="E130" s="7"/>
    </row>
    <row r="131" spans="4:5" x14ac:dyDescent="0.3">
      <c r="D131" s="7"/>
      <c r="E131" s="7"/>
    </row>
    <row r="132" spans="4:5" x14ac:dyDescent="0.3">
      <c r="D132" s="7"/>
      <c r="E132" s="7"/>
    </row>
    <row r="133" spans="4:5" x14ac:dyDescent="0.3">
      <c r="D133" s="7"/>
      <c r="E133" s="7"/>
    </row>
    <row r="134" spans="4:5" x14ac:dyDescent="0.3">
      <c r="D134" s="7"/>
      <c r="E134" s="7"/>
    </row>
    <row r="135" spans="4:5" x14ac:dyDescent="0.3">
      <c r="D135" s="7"/>
      <c r="E135" s="7"/>
    </row>
    <row r="136" spans="4:5" x14ac:dyDescent="0.3">
      <c r="D136" s="7"/>
      <c r="E136" s="7"/>
    </row>
    <row r="137" spans="4:5" x14ac:dyDescent="0.3">
      <c r="D137" s="7"/>
      <c r="E137" s="7"/>
    </row>
    <row r="138" spans="4:5" x14ac:dyDescent="0.3">
      <c r="D138" s="7"/>
      <c r="E138" s="7"/>
    </row>
    <row r="139" spans="4:5" x14ac:dyDescent="0.3">
      <c r="D139" s="7"/>
      <c r="E139" s="7"/>
    </row>
    <row r="140" spans="4:5" x14ac:dyDescent="0.3">
      <c r="D140" s="7"/>
      <c r="E140" s="7"/>
    </row>
    <row r="141" spans="4:5" x14ac:dyDescent="0.3">
      <c r="D141" s="7"/>
      <c r="E141" s="7"/>
    </row>
    <row r="142" spans="4:5" x14ac:dyDescent="0.3">
      <c r="D142" s="7"/>
      <c r="E142" s="7"/>
    </row>
    <row r="143" spans="4:5" x14ac:dyDescent="0.3">
      <c r="D143" s="7"/>
      <c r="E143" s="7"/>
    </row>
    <row r="144" spans="4:5" x14ac:dyDescent="0.3">
      <c r="D144" s="7"/>
      <c r="E144" s="7"/>
    </row>
    <row r="145" spans="4:5" x14ac:dyDescent="0.3">
      <c r="D145" s="7"/>
      <c r="E145" s="7"/>
    </row>
    <row r="146" spans="4:5" x14ac:dyDescent="0.3">
      <c r="D146" s="7"/>
      <c r="E146" s="7"/>
    </row>
    <row r="147" spans="4:5" x14ac:dyDescent="0.3">
      <c r="D147" s="7"/>
      <c r="E147" s="7"/>
    </row>
    <row r="148" spans="4:5" x14ac:dyDescent="0.3">
      <c r="D148" s="7"/>
      <c r="E148" s="7"/>
    </row>
    <row r="149" spans="4:5" x14ac:dyDescent="0.3">
      <c r="D149" s="7"/>
      <c r="E149" s="7"/>
    </row>
    <row r="150" spans="4:5" x14ac:dyDescent="0.3">
      <c r="D150" s="7"/>
      <c r="E150" s="7"/>
    </row>
    <row r="151" spans="4:5" x14ac:dyDescent="0.3">
      <c r="D151" s="7"/>
      <c r="E151" s="7"/>
    </row>
    <row r="152" spans="4:5" x14ac:dyDescent="0.3">
      <c r="D152" s="7"/>
      <c r="E152" s="7"/>
    </row>
    <row r="153" spans="4:5" x14ac:dyDescent="0.3">
      <c r="D153" s="7"/>
      <c r="E153" s="7"/>
    </row>
    <row r="154" spans="4:5" x14ac:dyDescent="0.3">
      <c r="D154" s="7"/>
      <c r="E154" s="7"/>
    </row>
    <row r="155" spans="4:5" x14ac:dyDescent="0.3">
      <c r="D155" s="7"/>
      <c r="E155" s="7"/>
    </row>
    <row r="156" spans="4:5" x14ac:dyDescent="0.3">
      <c r="D156" s="7"/>
      <c r="E156" s="7"/>
    </row>
    <row r="157" spans="4:5" x14ac:dyDescent="0.3">
      <c r="D157" s="7"/>
      <c r="E157" s="7"/>
    </row>
    <row r="158" spans="4:5" x14ac:dyDescent="0.3">
      <c r="D158" s="7"/>
      <c r="E158" s="7"/>
    </row>
    <row r="159" spans="4:5" x14ac:dyDescent="0.3">
      <c r="D159" s="7"/>
      <c r="E159" s="7"/>
    </row>
    <row r="160" spans="4:5" x14ac:dyDescent="0.3">
      <c r="D160" s="7"/>
      <c r="E160"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9A64-39AE-4B63-BA42-CF3CE501FCB1}">
  <dimension ref="A1:F160"/>
  <sheetViews>
    <sheetView workbookViewId="0">
      <selection activeCell="C1" sqref="C1"/>
    </sheetView>
  </sheetViews>
  <sheetFormatPr defaultRowHeight="14.4" x14ac:dyDescent="0.3"/>
  <sheetData>
    <row r="1" spans="1:6" x14ac:dyDescent="0.3">
      <c r="A1" s="6" t="s">
        <v>105</v>
      </c>
      <c r="B1" s="6" t="s">
        <v>39</v>
      </c>
      <c r="C1" s="6" t="s">
        <v>106</v>
      </c>
      <c r="D1" s="6" t="s">
        <v>41</v>
      </c>
      <c r="E1" s="6" t="s">
        <v>42</v>
      </c>
      <c r="F1" s="6" t="s">
        <v>43</v>
      </c>
    </row>
    <row r="2" spans="1:6" x14ac:dyDescent="0.3">
      <c r="A2" t="s">
        <v>83</v>
      </c>
      <c r="B2" t="s">
        <v>49</v>
      </c>
      <c r="C2">
        <v>3</v>
      </c>
      <c r="D2" s="7">
        <v>2020</v>
      </c>
      <c r="E2" s="7" t="s">
        <v>109</v>
      </c>
      <c r="F2" t="s">
        <v>112</v>
      </c>
    </row>
    <row r="3" spans="1:6" x14ac:dyDescent="0.3">
      <c r="A3" t="s">
        <v>86</v>
      </c>
      <c r="B3" t="s">
        <v>49</v>
      </c>
      <c r="C3">
        <v>621</v>
      </c>
      <c r="D3" s="7">
        <v>2021</v>
      </c>
      <c r="E3" s="7" t="s">
        <v>107</v>
      </c>
      <c r="F3" t="s">
        <v>112</v>
      </c>
    </row>
    <row r="4" spans="1:6" x14ac:dyDescent="0.3">
      <c r="A4" t="s">
        <v>87</v>
      </c>
      <c r="B4" t="s">
        <v>49</v>
      </c>
      <c r="C4">
        <v>2079</v>
      </c>
      <c r="D4" s="7">
        <v>2021</v>
      </c>
      <c r="E4" s="7" t="s">
        <v>109</v>
      </c>
      <c r="F4" t="s">
        <v>112</v>
      </c>
    </row>
    <row r="5" spans="1:6" x14ac:dyDescent="0.3">
      <c r="A5" t="s">
        <v>85</v>
      </c>
      <c r="B5" t="s">
        <v>49</v>
      </c>
      <c r="C5">
        <v>7048</v>
      </c>
      <c r="D5" s="7">
        <v>2020</v>
      </c>
      <c r="E5" s="7" t="s">
        <v>111</v>
      </c>
      <c r="F5" t="s">
        <v>112</v>
      </c>
    </row>
    <row r="6" spans="1:6" x14ac:dyDescent="0.3">
      <c r="A6" t="s">
        <v>84</v>
      </c>
      <c r="B6" t="s">
        <v>49</v>
      </c>
      <c r="C6">
        <v>27513</v>
      </c>
      <c r="D6" s="7">
        <v>2020</v>
      </c>
      <c r="E6" s="7" t="s">
        <v>110</v>
      </c>
      <c r="F6" t="s">
        <v>112</v>
      </c>
    </row>
    <row r="7" spans="1:6" x14ac:dyDescent="0.3">
      <c r="A7" t="s">
        <v>88</v>
      </c>
      <c r="B7" t="s">
        <v>49</v>
      </c>
      <c r="C7">
        <v>69145</v>
      </c>
      <c r="D7" s="7">
        <v>2021</v>
      </c>
      <c r="E7" s="7" t="s">
        <v>110</v>
      </c>
      <c r="F7" t="s">
        <v>112</v>
      </c>
    </row>
    <row r="8" spans="1:6" x14ac:dyDescent="0.3">
      <c r="A8" t="s">
        <v>90</v>
      </c>
      <c r="B8" t="s">
        <v>49</v>
      </c>
      <c r="C8">
        <v>86381</v>
      </c>
      <c r="D8" s="7">
        <v>2022</v>
      </c>
      <c r="E8" s="7" t="s">
        <v>107</v>
      </c>
      <c r="F8" t="s">
        <v>113</v>
      </c>
    </row>
    <row r="9" spans="1:6" x14ac:dyDescent="0.3">
      <c r="A9" t="s">
        <v>58</v>
      </c>
      <c r="B9" t="s">
        <v>49</v>
      </c>
      <c r="C9">
        <v>100116</v>
      </c>
      <c r="D9" s="7">
        <v>2014</v>
      </c>
      <c r="E9" s="7" t="s">
        <v>107</v>
      </c>
      <c r="F9" t="s">
        <v>108</v>
      </c>
    </row>
    <row r="10" spans="1:6" x14ac:dyDescent="0.3">
      <c r="A10" t="s">
        <v>89</v>
      </c>
      <c r="B10" t="s">
        <v>49</v>
      </c>
      <c r="C10">
        <v>102186</v>
      </c>
      <c r="D10" s="7">
        <v>2021</v>
      </c>
      <c r="E10" s="7" t="s">
        <v>111</v>
      </c>
      <c r="F10" t="s">
        <v>112</v>
      </c>
    </row>
    <row r="11" spans="1:6" x14ac:dyDescent="0.3">
      <c r="A11" t="s">
        <v>44</v>
      </c>
      <c r="B11" t="s">
        <v>49</v>
      </c>
      <c r="C11">
        <v>107936</v>
      </c>
      <c r="D11" s="7">
        <v>2012</v>
      </c>
      <c r="E11" s="7" t="s">
        <v>107</v>
      </c>
      <c r="F11" t="s">
        <v>108</v>
      </c>
    </row>
    <row r="12" spans="1:6" x14ac:dyDescent="0.3">
      <c r="A12" t="s">
        <v>82</v>
      </c>
      <c r="B12" t="s">
        <v>49</v>
      </c>
      <c r="C12">
        <v>107971</v>
      </c>
      <c r="D12" s="7">
        <v>2020</v>
      </c>
      <c r="E12" s="7" t="s">
        <v>107</v>
      </c>
      <c r="F12" t="s">
        <v>112</v>
      </c>
    </row>
    <row r="13" spans="1:6" x14ac:dyDescent="0.3">
      <c r="A13" t="s">
        <v>54</v>
      </c>
      <c r="B13" t="s">
        <v>49</v>
      </c>
      <c r="C13">
        <v>110780</v>
      </c>
      <c r="D13" s="7">
        <v>2013</v>
      </c>
      <c r="E13" s="7" t="s">
        <v>107</v>
      </c>
      <c r="F13" t="s">
        <v>108</v>
      </c>
    </row>
    <row r="14" spans="1:6" x14ac:dyDescent="0.3">
      <c r="A14" t="s">
        <v>62</v>
      </c>
      <c r="B14" t="s">
        <v>49</v>
      </c>
      <c r="C14">
        <v>113413</v>
      </c>
      <c r="D14" s="7">
        <v>2015</v>
      </c>
      <c r="E14" s="7" t="s">
        <v>107</v>
      </c>
      <c r="F14" t="s">
        <v>108</v>
      </c>
    </row>
    <row r="15" spans="1:6" x14ac:dyDescent="0.3">
      <c r="A15" t="s">
        <v>66</v>
      </c>
      <c r="B15" t="s">
        <v>49</v>
      </c>
      <c r="C15">
        <v>123034</v>
      </c>
      <c r="D15" s="7">
        <v>2016</v>
      </c>
      <c r="E15" s="7" t="s">
        <v>107</v>
      </c>
      <c r="F15" t="s">
        <v>108</v>
      </c>
    </row>
    <row r="16" spans="1:6" x14ac:dyDescent="0.3">
      <c r="A16" t="s">
        <v>74</v>
      </c>
      <c r="B16" t="s">
        <v>49</v>
      </c>
      <c r="C16">
        <v>131234</v>
      </c>
      <c r="D16" s="7">
        <v>2018</v>
      </c>
      <c r="E16" s="7" t="s">
        <v>107</v>
      </c>
      <c r="F16" t="s">
        <v>108</v>
      </c>
    </row>
    <row r="17" spans="1:6" x14ac:dyDescent="0.3">
      <c r="A17" t="s">
        <v>94</v>
      </c>
      <c r="B17" t="s">
        <v>49</v>
      </c>
      <c r="C17">
        <v>132657</v>
      </c>
      <c r="D17" s="7">
        <v>2023</v>
      </c>
      <c r="E17" s="7" t="s">
        <v>107</v>
      </c>
      <c r="F17" t="s">
        <v>113</v>
      </c>
    </row>
    <row r="18" spans="1:6" x14ac:dyDescent="0.3">
      <c r="A18" t="s">
        <v>70</v>
      </c>
      <c r="B18" t="s">
        <v>49</v>
      </c>
      <c r="C18">
        <v>134221</v>
      </c>
      <c r="D18" s="7">
        <v>2017</v>
      </c>
      <c r="E18" s="7" t="s">
        <v>107</v>
      </c>
      <c r="F18" t="s">
        <v>108</v>
      </c>
    </row>
    <row r="19" spans="1:6" x14ac:dyDescent="0.3">
      <c r="A19" t="s">
        <v>57</v>
      </c>
      <c r="B19" t="s">
        <v>49</v>
      </c>
      <c r="C19">
        <v>137889</v>
      </c>
      <c r="D19" s="7">
        <v>2013</v>
      </c>
      <c r="E19" s="7" t="s">
        <v>111</v>
      </c>
      <c r="F19" t="s">
        <v>108</v>
      </c>
    </row>
    <row r="20" spans="1:6" x14ac:dyDescent="0.3">
      <c r="A20" t="s">
        <v>53</v>
      </c>
      <c r="B20" t="s">
        <v>49</v>
      </c>
      <c r="C20">
        <v>139708</v>
      </c>
      <c r="D20" s="7">
        <v>2012</v>
      </c>
      <c r="E20" s="7" t="s">
        <v>111</v>
      </c>
      <c r="F20" t="s">
        <v>108</v>
      </c>
    </row>
    <row r="21" spans="1:6" x14ac:dyDescent="0.3">
      <c r="A21" t="s">
        <v>78</v>
      </c>
      <c r="B21" t="s">
        <v>49</v>
      </c>
      <c r="C21">
        <v>142569</v>
      </c>
      <c r="D21" s="7">
        <v>2019</v>
      </c>
      <c r="E21" s="7" t="s">
        <v>107</v>
      </c>
      <c r="F21" t="s">
        <v>108</v>
      </c>
    </row>
    <row r="22" spans="1:6" x14ac:dyDescent="0.3">
      <c r="A22" t="s">
        <v>61</v>
      </c>
      <c r="B22" t="s">
        <v>49</v>
      </c>
      <c r="C22">
        <v>143805</v>
      </c>
      <c r="D22" s="7">
        <v>2014</v>
      </c>
      <c r="E22" s="7" t="s">
        <v>111</v>
      </c>
      <c r="F22" t="s">
        <v>108</v>
      </c>
    </row>
    <row r="23" spans="1:6" x14ac:dyDescent="0.3">
      <c r="A23" t="s">
        <v>65</v>
      </c>
      <c r="B23" t="s">
        <v>49</v>
      </c>
      <c r="C23">
        <v>144910</v>
      </c>
      <c r="D23" s="7">
        <v>2015</v>
      </c>
      <c r="E23" s="7" t="s">
        <v>111</v>
      </c>
      <c r="F23" t="s">
        <v>108</v>
      </c>
    </row>
    <row r="24" spans="1:6" x14ac:dyDescent="0.3">
      <c r="A24" t="s">
        <v>69</v>
      </c>
      <c r="B24" t="s">
        <v>49</v>
      </c>
      <c r="C24">
        <v>158563</v>
      </c>
      <c r="D24" s="7">
        <v>2016</v>
      </c>
      <c r="E24" s="7" t="s">
        <v>111</v>
      </c>
      <c r="F24" t="s">
        <v>108</v>
      </c>
    </row>
    <row r="25" spans="1:6" x14ac:dyDescent="0.3">
      <c r="A25" t="s">
        <v>98</v>
      </c>
      <c r="B25" t="s">
        <v>49</v>
      </c>
      <c r="C25">
        <v>158595</v>
      </c>
      <c r="D25" s="7">
        <v>2024</v>
      </c>
      <c r="E25" s="7" t="s">
        <v>107</v>
      </c>
      <c r="F25" t="s">
        <v>113</v>
      </c>
    </row>
    <row r="26" spans="1:6" x14ac:dyDescent="0.3">
      <c r="A26" t="s">
        <v>73</v>
      </c>
      <c r="B26" t="s">
        <v>49</v>
      </c>
      <c r="C26">
        <v>160780</v>
      </c>
      <c r="D26" s="7">
        <v>2017</v>
      </c>
      <c r="E26" s="7" t="s">
        <v>111</v>
      </c>
      <c r="F26" t="s">
        <v>108</v>
      </c>
    </row>
    <row r="27" spans="1:6" x14ac:dyDescent="0.3">
      <c r="A27" t="s">
        <v>102</v>
      </c>
      <c r="B27" t="s">
        <v>49</v>
      </c>
      <c r="C27">
        <v>168444</v>
      </c>
      <c r="D27" s="7">
        <v>2025</v>
      </c>
      <c r="E27" s="7" t="s">
        <v>107</v>
      </c>
      <c r="F27" t="s">
        <v>113</v>
      </c>
    </row>
    <row r="28" spans="1:6" x14ac:dyDescent="0.3">
      <c r="A28" t="s">
        <v>77</v>
      </c>
      <c r="B28" t="s">
        <v>49</v>
      </c>
      <c r="C28">
        <v>170516</v>
      </c>
      <c r="D28" s="7">
        <v>2018</v>
      </c>
      <c r="E28" s="7" t="s">
        <v>111</v>
      </c>
      <c r="F28" t="s">
        <v>108</v>
      </c>
    </row>
    <row r="29" spans="1:6" x14ac:dyDescent="0.3">
      <c r="A29" t="s">
        <v>93</v>
      </c>
      <c r="B29" t="s">
        <v>49</v>
      </c>
      <c r="C29">
        <v>170536</v>
      </c>
      <c r="D29" s="7">
        <v>2022</v>
      </c>
      <c r="E29" s="7" t="s">
        <v>111</v>
      </c>
      <c r="F29" t="s">
        <v>113</v>
      </c>
    </row>
    <row r="30" spans="1:6" x14ac:dyDescent="0.3">
      <c r="A30" t="s">
        <v>81</v>
      </c>
      <c r="B30" t="s">
        <v>49</v>
      </c>
      <c r="C30">
        <v>180453</v>
      </c>
      <c r="D30" s="7">
        <v>2019</v>
      </c>
      <c r="E30" s="7" t="s">
        <v>111</v>
      </c>
      <c r="F30" t="s">
        <v>108</v>
      </c>
    </row>
    <row r="31" spans="1:6" x14ac:dyDescent="0.3">
      <c r="A31" t="s">
        <v>97</v>
      </c>
      <c r="B31" t="s">
        <v>49</v>
      </c>
      <c r="C31">
        <v>182254</v>
      </c>
      <c r="D31" s="7">
        <v>2023</v>
      </c>
      <c r="E31" s="7" t="s">
        <v>111</v>
      </c>
      <c r="F31" t="s">
        <v>113</v>
      </c>
    </row>
    <row r="32" spans="1:6" x14ac:dyDescent="0.3">
      <c r="A32" t="s">
        <v>55</v>
      </c>
      <c r="B32" t="s">
        <v>49</v>
      </c>
      <c r="C32">
        <v>189501</v>
      </c>
      <c r="D32" s="7">
        <v>2013</v>
      </c>
      <c r="E32" s="7" t="s">
        <v>109</v>
      </c>
      <c r="F32" t="s">
        <v>108</v>
      </c>
    </row>
    <row r="33" spans="1:6" x14ac:dyDescent="0.3">
      <c r="A33" t="s">
        <v>101</v>
      </c>
      <c r="B33" t="s">
        <v>49</v>
      </c>
      <c r="C33">
        <v>190172</v>
      </c>
      <c r="D33" s="7">
        <v>2024</v>
      </c>
      <c r="E33" s="7" t="s">
        <v>111</v>
      </c>
      <c r="F33" t="s">
        <v>113</v>
      </c>
    </row>
    <row r="34" spans="1:6" x14ac:dyDescent="0.3">
      <c r="A34" t="s">
        <v>51</v>
      </c>
      <c r="B34" t="s">
        <v>49</v>
      </c>
      <c r="C34">
        <v>199427</v>
      </c>
      <c r="D34" s="7">
        <v>2012</v>
      </c>
      <c r="E34" s="7" t="s">
        <v>109</v>
      </c>
      <c r="F34" t="s">
        <v>108</v>
      </c>
    </row>
    <row r="35" spans="1:6" x14ac:dyDescent="0.3">
      <c r="A35" t="s">
        <v>91</v>
      </c>
      <c r="B35" t="s">
        <v>49</v>
      </c>
      <c r="C35">
        <v>200028</v>
      </c>
      <c r="D35" s="7">
        <v>2022</v>
      </c>
      <c r="E35" s="7" t="s">
        <v>109</v>
      </c>
      <c r="F35" t="s">
        <v>113</v>
      </c>
    </row>
    <row r="36" spans="1:6" x14ac:dyDescent="0.3">
      <c r="A36" t="s">
        <v>63</v>
      </c>
      <c r="B36" t="s">
        <v>49</v>
      </c>
      <c r="C36">
        <v>200042</v>
      </c>
      <c r="D36" s="7">
        <v>2015</v>
      </c>
      <c r="E36" s="7" t="s">
        <v>109</v>
      </c>
      <c r="F36" t="s">
        <v>108</v>
      </c>
    </row>
    <row r="37" spans="1:6" x14ac:dyDescent="0.3">
      <c r="A37" t="s">
        <v>59</v>
      </c>
      <c r="B37" t="s">
        <v>49</v>
      </c>
      <c r="C37">
        <v>200333</v>
      </c>
      <c r="D37" s="7">
        <v>2014</v>
      </c>
      <c r="E37" s="7" t="s">
        <v>109</v>
      </c>
      <c r="F37" t="s">
        <v>108</v>
      </c>
    </row>
    <row r="38" spans="1:6" x14ac:dyDescent="0.3">
      <c r="A38" t="s">
        <v>67</v>
      </c>
      <c r="B38" t="s">
        <v>49</v>
      </c>
      <c r="C38">
        <v>200402</v>
      </c>
      <c r="D38" s="7">
        <v>2016</v>
      </c>
      <c r="E38" s="7" t="s">
        <v>109</v>
      </c>
      <c r="F38" t="s">
        <v>108</v>
      </c>
    </row>
    <row r="39" spans="1:6" x14ac:dyDescent="0.3">
      <c r="A39" t="s">
        <v>71</v>
      </c>
      <c r="B39" t="s">
        <v>49</v>
      </c>
      <c r="C39">
        <v>208655</v>
      </c>
      <c r="D39" s="7">
        <v>2017</v>
      </c>
      <c r="E39" s="7" t="s">
        <v>109</v>
      </c>
      <c r="F39" t="s">
        <v>108</v>
      </c>
    </row>
    <row r="40" spans="1:6" x14ac:dyDescent="0.3">
      <c r="A40" t="s">
        <v>75</v>
      </c>
      <c r="B40" t="s">
        <v>49</v>
      </c>
      <c r="C40">
        <v>217471</v>
      </c>
      <c r="D40" s="7">
        <v>2018</v>
      </c>
      <c r="E40" s="7" t="s">
        <v>109</v>
      </c>
      <c r="F40" t="s">
        <v>108</v>
      </c>
    </row>
    <row r="41" spans="1:6" x14ac:dyDescent="0.3">
      <c r="A41" t="s">
        <v>79</v>
      </c>
      <c r="B41" t="s">
        <v>49</v>
      </c>
      <c r="C41">
        <v>222433</v>
      </c>
      <c r="D41" s="7">
        <v>2019</v>
      </c>
      <c r="E41" s="7" t="s">
        <v>109</v>
      </c>
      <c r="F41" t="s">
        <v>108</v>
      </c>
    </row>
    <row r="42" spans="1:6" x14ac:dyDescent="0.3">
      <c r="A42" t="s">
        <v>64</v>
      </c>
      <c r="B42" t="s">
        <v>49</v>
      </c>
      <c r="C42">
        <v>226306</v>
      </c>
      <c r="D42" s="7">
        <v>2015</v>
      </c>
      <c r="E42" s="7" t="s">
        <v>110</v>
      </c>
      <c r="F42" t="s">
        <v>108</v>
      </c>
    </row>
    <row r="43" spans="1:6" x14ac:dyDescent="0.3">
      <c r="A43" t="s">
        <v>56</v>
      </c>
      <c r="B43" t="s">
        <v>49</v>
      </c>
      <c r="C43">
        <v>227388</v>
      </c>
      <c r="D43" s="7">
        <v>2013</v>
      </c>
      <c r="E43" s="7" t="s">
        <v>110</v>
      </c>
      <c r="F43" t="s">
        <v>108</v>
      </c>
    </row>
    <row r="44" spans="1:6" x14ac:dyDescent="0.3">
      <c r="A44" t="s">
        <v>95</v>
      </c>
      <c r="B44" t="s">
        <v>49</v>
      </c>
      <c r="C44">
        <v>230010</v>
      </c>
      <c r="D44" s="7">
        <v>2023</v>
      </c>
      <c r="E44" s="7" t="s">
        <v>109</v>
      </c>
      <c r="F44" t="s">
        <v>113</v>
      </c>
    </row>
    <row r="45" spans="1:6" x14ac:dyDescent="0.3">
      <c r="A45" t="s">
        <v>52</v>
      </c>
      <c r="B45" t="s">
        <v>49</v>
      </c>
      <c r="C45">
        <v>230297</v>
      </c>
      <c r="D45" s="7">
        <v>2012</v>
      </c>
      <c r="E45" s="7" t="s">
        <v>110</v>
      </c>
      <c r="F45" t="s">
        <v>108</v>
      </c>
    </row>
    <row r="46" spans="1:6" x14ac:dyDescent="0.3">
      <c r="A46" t="s">
        <v>99</v>
      </c>
      <c r="B46" t="s">
        <v>49</v>
      </c>
      <c r="C46">
        <v>230783</v>
      </c>
      <c r="D46" s="7">
        <v>2024</v>
      </c>
      <c r="E46" s="7" t="s">
        <v>109</v>
      </c>
      <c r="F46" t="s">
        <v>113</v>
      </c>
    </row>
    <row r="47" spans="1:6" x14ac:dyDescent="0.3">
      <c r="A47" t="s">
        <v>72</v>
      </c>
      <c r="B47" t="s">
        <v>49</v>
      </c>
      <c r="C47">
        <v>244849</v>
      </c>
      <c r="D47" s="7">
        <v>2017</v>
      </c>
      <c r="E47" s="7" t="s">
        <v>110</v>
      </c>
      <c r="F47" t="s">
        <v>108</v>
      </c>
    </row>
    <row r="48" spans="1:6" x14ac:dyDescent="0.3">
      <c r="A48" t="s">
        <v>76</v>
      </c>
      <c r="B48" t="s">
        <v>49</v>
      </c>
      <c r="C48">
        <v>251687</v>
      </c>
      <c r="D48" s="7">
        <v>2018</v>
      </c>
      <c r="E48" s="7" t="s">
        <v>110</v>
      </c>
      <c r="F48" t="s">
        <v>108</v>
      </c>
    </row>
    <row r="49" spans="1:6" x14ac:dyDescent="0.3">
      <c r="A49" t="s">
        <v>92</v>
      </c>
      <c r="B49" t="s">
        <v>49</v>
      </c>
      <c r="C49">
        <v>252595</v>
      </c>
      <c r="D49" s="7">
        <v>2022</v>
      </c>
      <c r="E49" s="7" t="s">
        <v>110</v>
      </c>
      <c r="F49" t="s">
        <v>113</v>
      </c>
    </row>
    <row r="50" spans="1:6" x14ac:dyDescent="0.3">
      <c r="A50" t="s">
        <v>100</v>
      </c>
      <c r="B50" t="s">
        <v>49</v>
      </c>
      <c r="C50">
        <v>253641</v>
      </c>
      <c r="D50" s="7">
        <v>2024</v>
      </c>
      <c r="E50" s="7" t="s">
        <v>110</v>
      </c>
      <c r="F50" t="s">
        <v>113</v>
      </c>
    </row>
    <row r="51" spans="1:6" x14ac:dyDescent="0.3">
      <c r="A51" t="s">
        <v>68</v>
      </c>
      <c r="B51" t="s">
        <v>49</v>
      </c>
      <c r="C51">
        <v>253870</v>
      </c>
      <c r="D51" s="7">
        <v>2016</v>
      </c>
      <c r="E51" s="7" t="s">
        <v>110</v>
      </c>
      <c r="F51" t="s">
        <v>108</v>
      </c>
    </row>
    <row r="52" spans="1:6" x14ac:dyDescent="0.3">
      <c r="A52" t="s">
        <v>60</v>
      </c>
      <c r="B52" t="s">
        <v>49</v>
      </c>
      <c r="C52">
        <v>259416</v>
      </c>
      <c r="D52" s="7">
        <v>2014</v>
      </c>
      <c r="E52" s="7" t="s">
        <v>110</v>
      </c>
      <c r="F52" t="s">
        <v>108</v>
      </c>
    </row>
    <row r="53" spans="1:6" x14ac:dyDescent="0.3">
      <c r="A53" t="s">
        <v>80</v>
      </c>
      <c r="B53" t="s">
        <v>49</v>
      </c>
      <c r="C53">
        <v>259988</v>
      </c>
      <c r="D53" s="7">
        <v>2019</v>
      </c>
      <c r="E53" s="7" t="s">
        <v>110</v>
      </c>
      <c r="F53" t="s">
        <v>108</v>
      </c>
    </row>
    <row r="54" spans="1:6" x14ac:dyDescent="0.3">
      <c r="A54" t="s">
        <v>96</v>
      </c>
      <c r="B54" t="s">
        <v>49</v>
      </c>
      <c r="C54">
        <v>268345</v>
      </c>
      <c r="D54" s="7">
        <v>2023</v>
      </c>
      <c r="E54" s="7" t="s">
        <v>110</v>
      </c>
      <c r="F54" t="s">
        <v>113</v>
      </c>
    </row>
    <row r="55" spans="1:6" x14ac:dyDescent="0.3">
      <c r="A55" t="s">
        <v>103</v>
      </c>
      <c r="B55" t="s">
        <v>49</v>
      </c>
      <c r="C55">
        <v>271057</v>
      </c>
      <c r="D55" s="7">
        <v>2025</v>
      </c>
      <c r="E55" s="7" t="s">
        <v>109</v>
      </c>
      <c r="F55" t="s">
        <v>113</v>
      </c>
    </row>
    <row r="56" spans="1:6" x14ac:dyDescent="0.3">
      <c r="D56" s="7"/>
      <c r="E56" s="7"/>
    </row>
    <row r="57" spans="1:6" x14ac:dyDescent="0.3">
      <c r="D57" s="7"/>
      <c r="E57" s="7"/>
    </row>
    <row r="58" spans="1:6" x14ac:dyDescent="0.3">
      <c r="D58" s="7"/>
      <c r="E58" s="7"/>
    </row>
    <row r="59" spans="1:6" x14ac:dyDescent="0.3">
      <c r="D59" s="7"/>
      <c r="E59" s="7"/>
    </row>
    <row r="60" spans="1:6" x14ac:dyDescent="0.3">
      <c r="D60" s="7"/>
      <c r="E60" s="7"/>
    </row>
    <row r="61" spans="1:6" x14ac:dyDescent="0.3">
      <c r="D61" s="7"/>
      <c r="E61" s="7"/>
    </row>
    <row r="62" spans="1:6" x14ac:dyDescent="0.3">
      <c r="D62" s="7"/>
      <c r="E62" s="7"/>
    </row>
    <row r="63" spans="1:6" x14ac:dyDescent="0.3">
      <c r="D63" s="7"/>
      <c r="E63" s="7"/>
    </row>
    <row r="64" spans="1:6" x14ac:dyDescent="0.3">
      <c r="D64" s="7"/>
      <c r="E64" s="7"/>
    </row>
    <row r="65" spans="4:5" x14ac:dyDescent="0.3">
      <c r="D65" s="7"/>
      <c r="E65" s="7"/>
    </row>
    <row r="66" spans="4:5" x14ac:dyDescent="0.3">
      <c r="D66" s="7"/>
      <c r="E66" s="7"/>
    </row>
    <row r="67" spans="4:5" x14ac:dyDescent="0.3">
      <c r="D67" s="7"/>
      <c r="E67" s="7"/>
    </row>
    <row r="68" spans="4:5" x14ac:dyDescent="0.3">
      <c r="D68" s="7"/>
      <c r="E68" s="7"/>
    </row>
    <row r="69" spans="4:5" x14ac:dyDescent="0.3">
      <c r="D69" s="7"/>
      <c r="E69" s="7"/>
    </row>
    <row r="70" spans="4:5" x14ac:dyDescent="0.3">
      <c r="D70" s="7"/>
      <c r="E70" s="7"/>
    </row>
    <row r="71" spans="4:5" x14ac:dyDescent="0.3">
      <c r="D71" s="7"/>
      <c r="E71" s="7"/>
    </row>
    <row r="72" spans="4:5" x14ac:dyDescent="0.3">
      <c r="D72" s="7"/>
      <c r="E72" s="7"/>
    </row>
    <row r="73" spans="4:5" x14ac:dyDescent="0.3">
      <c r="D73" s="7"/>
      <c r="E73" s="7"/>
    </row>
    <row r="74" spans="4:5" x14ac:dyDescent="0.3">
      <c r="D74" s="7"/>
      <c r="E74" s="7"/>
    </row>
    <row r="75" spans="4:5" x14ac:dyDescent="0.3">
      <c r="D75" s="7"/>
      <c r="E75" s="7"/>
    </row>
    <row r="76" spans="4:5" x14ac:dyDescent="0.3">
      <c r="D76" s="7"/>
      <c r="E76" s="7"/>
    </row>
    <row r="77" spans="4:5" x14ac:dyDescent="0.3">
      <c r="D77" s="7"/>
      <c r="E77" s="7"/>
    </row>
    <row r="78" spans="4:5" x14ac:dyDescent="0.3">
      <c r="D78" s="7"/>
      <c r="E78" s="7"/>
    </row>
    <row r="79" spans="4:5" x14ac:dyDescent="0.3">
      <c r="D79" s="7"/>
      <c r="E79" s="7"/>
    </row>
    <row r="80" spans="4:5" x14ac:dyDescent="0.3">
      <c r="D80" s="7"/>
      <c r="E80" s="7"/>
    </row>
    <row r="81" spans="4:5" x14ac:dyDescent="0.3">
      <c r="D81" s="7"/>
      <c r="E81" s="7"/>
    </row>
    <row r="82" spans="4:5" x14ac:dyDescent="0.3">
      <c r="D82" s="7"/>
      <c r="E82" s="7"/>
    </row>
    <row r="83" spans="4:5" x14ac:dyDescent="0.3">
      <c r="D83" s="7"/>
      <c r="E83" s="7"/>
    </row>
    <row r="84" spans="4:5" x14ac:dyDescent="0.3">
      <c r="D84" s="7"/>
      <c r="E84" s="7"/>
    </row>
    <row r="85" spans="4:5" x14ac:dyDescent="0.3">
      <c r="D85" s="7"/>
      <c r="E85" s="7"/>
    </row>
    <row r="86" spans="4:5" x14ac:dyDescent="0.3">
      <c r="D86" s="7"/>
      <c r="E86" s="7"/>
    </row>
    <row r="87" spans="4:5" x14ac:dyDescent="0.3">
      <c r="D87" s="7"/>
      <c r="E87" s="7"/>
    </row>
    <row r="88" spans="4:5" x14ac:dyDescent="0.3">
      <c r="D88" s="7"/>
      <c r="E88" s="7"/>
    </row>
    <row r="89" spans="4:5" x14ac:dyDescent="0.3">
      <c r="D89" s="7"/>
      <c r="E89" s="7"/>
    </row>
    <row r="90" spans="4:5" x14ac:dyDescent="0.3">
      <c r="D90" s="7"/>
      <c r="E90" s="7"/>
    </row>
    <row r="91" spans="4:5" x14ac:dyDescent="0.3">
      <c r="D91" s="7"/>
      <c r="E91" s="7"/>
    </row>
    <row r="92" spans="4:5" x14ac:dyDescent="0.3">
      <c r="D92" s="7"/>
      <c r="E92" s="7"/>
    </row>
    <row r="93" spans="4:5" x14ac:dyDescent="0.3">
      <c r="D93" s="7"/>
      <c r="E93" s="7"/>
    </row>
    <row r="94" spans="4:5" x14ac:dyDescent="0.3">
      <c r="D94" s="7"/>
      <c r="E94" s="7"/>
    </row>
    <row r="95" spans="4:5" x14ac:dyDescent="0.3">
      <c r="D95" s="7"/>
      <c r="E95" s="7"/>
    </row>
    <row r="96" spans="4:5" x14ac:dyDescent="0.3">
      <c r="D96" s="7"/>
      <c r="E96" s="7"/>
    </row>
    <row r="97" spans="4:5" x14ac:dyDescent="0.3">
      <c r="D97" s="7"/>
      <c r="E97" s="7"/>
    </row>
    <row r="98" spans="4:5" x14ac:dyDescent="0.3">
      <c r="D98" s="7"/>
      <c r="E98" s="7"/>
    </row>
    <row r="99" spans="4:5" x14ac:dyDescent="0.3">
      <c r="D99" s="7"/>
      <c r="E99" s="7"/>
    </row>
    <row r="100" spans="4:5" x14ac:dyDescent="0.3">
      <c r="D100" s="7"/>
      <c r="E100" s="7"/>
    </row>
    <row r="101" spans="4:5" x14ac:dyDescent="0.3">
      <c r="D101" s="7"/>
      <c r="E101" s="7"/>
    </row>
    <row r="102" spans="4:5" x14ac:dyDescent="0.3">
      <c r="D102" s="7"/>
      <c r="E102" s="7"/>
    </row>
    <row r="103" spans="4:5" x14ac:dyDescent="0.3">
      <c r="D103" s="7"/>
      <c r="E103" s="7"/>
    </row>
    <row r="104" spans="4:5" x14ac:dyDescent="0.3">
      <c r="D104" s="7"/>
      <c r="E104" s="7"/>
    </row>
    <row r="105" spans="4:5" x14ac:dyDescent="0.3">
      <c r="D105" s="7"/>
      <c r="E105" s="7"/>
    </row>
    <row r="106" spans="4:5" x14ac:dyDescent="0.3">
      <c r="D106" s="7"/>
      <c r="E106" s="7"/>
    </row>
    <row r="107" spans="4:5" x14ac:dyDescent="0.3">
      <c r="D107" s="7"/>
      <c r="E107" s="7"/>
    </row>
    <row r="108" spans="4:5" x14ac:dyDescent="0.3">
      <c r="D108" s="7"/>
      <c r="E108" s="7"/>
    </row>
    <row r="109" spans="4:5" x14ac:dyDescent="0.3">
      <c r="D109" s="7"/>
      <c r="E109" s="7"/>
    </row>
    <row r="110" spans="4:5" x14ac:dyDescent="0.3">
      <c r="D110" s="7"/>
      <c r="E110" s="7"/>
    </row>
    <row r="111" spans="4:5" x14ac:dyDescent="0.3">
      <c r="D111" s="7"/>
      <c r="E111" s="7"/>
    </row>
    <row r="112" spans="4:5" x14ac:dyDescent="0.3">
      <c r="D112" s="7"/>
      <c r="E112" s="7"/>
    </row>
    <row r="113" spans="4:5" x14ac:dyDescent="0.3">
      <c r="D113" s="7"/>
      <c r="E113" s="7"/>
    </row>
    <row r="114" spans="4:5" x14ac:dyDescent="0.3">
      <c r="D114" s="7"/>
      <c r="E114" s="7"/>
    </row>
    <row r="115" spans="4:5" x14ac:dyDescent="0.3">
      <c r="D115" s="7"/>
      <c r="E115" s="7"/>
    </row>
    <row r="116" spans="4:5" x14ac:dyDescent="0.3">
      <c r="D116" s="7"/>
      <c r="E116" s="7"/>
    </row>
    <row r="117" spans="4:5" x14ac:dyDescent="0.3">
      <c r="D117" s="7"/>
      <c r="E117" s="7"/>
    </row>
    <row r="118" spans="4:5" x14ac:dyDescent="0.3">
      <c r="D118" s="7"/>
      <c r="E118" s="7"/>
    </row>
    <row r="119" spans="4:5" x14ac:dyDescent="0.3">
      <c r="D119" s="7"/>
      <c r="E119" s="7"/>
    </row>
    <row r="120" spans="4:5" x14ac:dyDescent="0.3">
      <c r="D120" s="7"/>
      <c r="E120" s="7"/>
    </row>
    <row r="121" spans="4:5" x14ac:dyDescent="0.3">
      <c r="D121" s="7"/>
      <c r="E121" s="7"/>
    </row>
    <row r="122" spans="4:5" x14ac:dyDescent="0.3">
      <c r="D122" s="7"/>
      <c r="E122" s="7"/>
    </row>
    <row r="123" spans="4:5" x14ac:dyDescent="0.3">
      <c r="D123" s="7"/>
      <c r="E123" s="7"/>
    </row>
    <row r="124" spans="4:5" x14ac:dyDescent="0.3">
      <c r="D124" s="7"/>
      <c r="E124" s="7"/>
    </row>
    <row r="125" spans="4:5" x14ac:dyDescent="0.3">
      <c r="D125" s="7"/>
      <c r="E125" s="7"/>
    </row>
    <row r="126" spans="4:5" x14ac:dyDescent="0.3">
      <c r="D126" s="7"/>
      <c r="E126" s="7"/>
    </row>
    <row r="127" spans="4:5" x14ac:dyDescent="0.3">
      <c r="D127" s="7"/>
      <c r="E127" s="7"/>
    </row>
    <row r="128" spans="4:5" x14ac:dyDescent="0.3">
      <c r="D128" s="7"/>
      <c r="E128" s="7"/>
    </row>
    <row r="129" spans="4:5" x14ac:dyDescent="0.3">
      <c r="D129" s="7"/>
      <c r="E129" s="7"/>
    </row>
    <row r="130" spans="4:5" x14ac:dyDescent="0.3">
      <c r="D130" s="7"/>
      <c r="E130" s="7"/>
    </row>
    <row r="131" spans="4:5" x14ac:dyDescent="0.3">
      <c r="D131" s="7"/>
      <c r="E131" s="7"/>
    </row>
    <row r="132" spans="4:5" x14ac:dyDescent="0.3">
      <c r="D132" s="7"/>
      <c r="E132" s="7"/>
    </row>
    <row r="133" spans="4:5" x14ac:dyDescent="0.3">
      <c r="D133" s="7"/>
      <c r="E133" s="7"/>
    </row>
    <row r="134" spans="4:5" x14ac:dyDescent="0.3">
      <c r="D134" s="7"/>
      <c r="E134" s="7"/>
    </row>
    <row r="135" spans="4:5" x14ac:dyDescent="0.3">
      <c r="D135" s="7"/>
      <c r="E135" s="7"/>
    </row>
    <row r="136" spans="4:5" x14ac:dyDescent="0.3">
      <c r="D136" s="7"/>
      <c r="E136" s="7"/>
    </row>
    <row r="137" spans="4:5" x14ac:dyDescent="0.3">
      <c r="D137" s="7"/>
      <c r="E137" s="7"/>
    </row>
    <row r="138" spans="4:5" x14ac:dyDescent="0.3">
      <c r="D138" s="7"/>
      <c r="E138" s="7"/>
    </row>
    <row r="139" spans="4:5" x14ac:dyDescent="0.3">
      <c r="D139" s="7"/>
      <c r="E139" s="7"/>
    </row>
    <row r="140" spans="4:5" x14ac:dyDescent="0.3">
      <c r="D140" s="7"/>
      <c r="E140" s="7"/>
    </row>
    <row r="141" spans="4:5" x14ac:dyDescent="0.3">
      <c r="D141" s="7"/>
      <c r="E141" s="7"/>
    </row>
    <row r="142" spans="4:5" x14ac:dyDescent="0.3">
      <c r="D142" s="7"/>
      <c r="E142" s="7"/>
    </row>
    <row r="143" spans="4:5" x14ac:dyDescent="0.3">
      <c r="D143" s="7"/>
      <c r="E143" s="7"/>
    </row>
    <row r="144" spans="4:5" x14ac:dyDescent="0.3">
      <c r="D144" s="7"/>
      <c r="E144" s="7"/>
    </row>
    <row r="145" spans="4:5" x14ac:dyDescent="0.3">
      <c r="D145" s="7"/>
      <c r="E145" s="7"/>
    </row>
    <row r="146" spans="4:5" x14ac:dyDescent="0.3">
      <c r="D146" s="7"/>
      <c r="E146" s="7"/>
    </row>
    <row r="147" spans="4:5" x14ac:dyDescent="0.3">
      <c r="D147" s="7"/>
      <c r="E147" s="7"/>
    </row>
    <row r="148" spans="4:5" x14ac:dyDescent="0.3">
      <c r="D148" s="7"/>
      <c r="E148" s="7"/>
    </row>
    <row r="149" spans="4:5" x14ac:dyDescent="0.3">
      <c r="D149" s="7"/>
      <c r="E149" s="7"/>
    </row>
    <row r="150" spans="4:5" x14ac:dyDescent="0.3">
      <c r="D150" s="7"/>
      <c r="E150" s="7"/>
    </row>
    <row r="151" spans="4:5" x14ac:dyDescent="0.3">
      <c r="D151" s="7"/>
      <c r="E151" s="7"/>
    </row>
    <row r="152" spans="4:5" x14ac:dyDescent="0.3">
      <c r="D152" s="7"/>
      <c r="E152" s="7"/>
    </row>
    <row r="153" spans="4:5" x14ac:dyDescent="0.3">
      <c r="D153" s="7"/>
      <c r="E153" s="7"/>
    </row>
    <row r="154" spans="4:5" x14ac:dyDescent="0.3">
      <c r="D154" s="7"/>
      <c r="E154" s="7"/>
    </row>
    <row r="155" spans="4:5" x14ac:dyDescent="0.3">
      <c r="D155" s="7"/>
      <c r="E155" s="7"/>
    </row>
    <row r="156" spans="4:5" x14ac:dyDescent="0.3">
      <c r="D156" s="7"/>
      <c r="E156" s="7"/>
    </row>
    <row r="157" spans="4:5" x14ac:dyDescent="0.3">
      <c r="D157" s="7"/>
      <c r="E157" s="7"/>
    </row>
    <row r="158" spans="4:5" x14ac:dyDescent="0.3">
      <c r="D158" s="7"/>
      <c r="E158" s="7"/>
    </row>
    <row r="159" spans="4:5" x14ac:dyDescent="0.3">
      <c r="D159" s="7"/>
      <c r="E159" s="7"/>
    </row>
    <row r="160" spans="4:5" x14ac:dyDescent="0.3">
      <c r="D160" s="7"/>
      <c r="E160" s="7"/>
    </row>
  </sheetData>
  <autoFilter ref="A1:F1" xr:uid="{6FB99A64-39AE-4B63-BA42-CF3CE501FCB1}">
    <sortState xmlns:xlrd2="http://schemas.microsoft.com/office/spreadsheetml/2017/richdata2" ref="A2:F55">
      <sortCondition ref="C1"/>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90D40-D443-441A-A704-804D29383DEC}">
  <dimension ref="A1:F160"/>
  <sheetViews>
    <sheetView workbookViewId="0">
      <selection activeCell="I5" sqref="I5"/>
    </sheetView>
  </sheetViews>
  <sheetFormatPr defaultRowHeight="14.4" x14ac:dyDescent="0.3"/>
  <cols>
    <col min="6" max="6" width="11.88671875" customWidth="1"/>
  </cols>
  <sheetData>
    <row r="1" spans="1:6" x14ac:dyDescent="0.3">
      <c r="A1" s="6" t="s">
        <v>105</v>
      </c>
      <c r="B1" s="6" t="s">
        <v>39</v>
      </c>
      <c r="C1" s="6" t="s">
        <v>106</v>
      </c>
      <c r="D1" s="6" t="s">
        <v>41</v>
      </c>
      <c r="E1" s="6" t="s">
        <v>42</v>
      </c>
      <c r="F1" s="6" t="s">
        <v>43</v>
      </c>
    </row>
    <row r="2" spans="1:6" x14ac:dyDescent="0.3">
      <c r="A2" t="s">
        <v>44</v>
      </c>
      <c r="B2" t="s">
        <v>50</v>
      </c>
      <c r="C2">
        <v>215424</v>
      </c>
      <c r="D2" s="7">
        <v>2012</v>
      </c>
      <c r="E2" s="7" t="s">
        <v>107</v>
      </c>
      <c r="F2" t="s">
        <v>108</v>
      </c>
    </row>
    <row r="3" spans="1:6" x14ac:dyDescent="0.3">
      <c r="A3" t="s">
        <v>51</v>
      </c>
      <c r="B3" t="s">
        <v>50</v>
      </c>
      <c r="C3">
        <v>367971</v>
      </c>
      <c r="D3" s="7">
        <v>2012</v>
      </c>
      <c r="E3" s="7" t="s">
        <v>109</v>
      </c>
      <c r="F3" t="s">
        <v>108</v>
      </c>
    </row>
    <row r="4" spans="1:6" x14ac:dyDescent="0.3">
      <c r="A4" t="s">
        <v>52</v>
      </c>
      <c r="B4" t="s">
        <v>50</v>
      </c>
      <c r="C4">
        <v>440305</v>
      </c>
      <c r="D4" s="7">
        <v>2012</v>
      </c>
      <c r="E4" s="7" t="s">
        <v>110</v>
      </c>
      <c r="F4" t="s">
        <v>108</v>
      </c>
    </row>
    <row r="5" spans="1:6" x14ac:dyDescent="0.3">
      <c r="A5" t="s">
        <v>53</v>
      </c>
      <c r="B5" t="s">
        <v>50</v>
      </c>
      <c r="C5">
        <v>262439</v>
      </c>
      <c r="D5" s="7">
        <v>2012</v>
      </c>
      <c r="E5" s="7" t="s">
        <v>111</v>
      </c>
      <c r="F5" t="s">
        <v>108</v>
      </c>
    </row>
    <row r="6" spans="1:6" x14ac:dyDescent="0.3">
      <c r="A6" t="s">
        <v>54</v>
      </c>
      <c r="B6" t="s">
        <v>50</v>
      </c>
      <c r="C6">
        <v>203393</v>
      </c>
      <c r="D6" s="7">
        <v>2013</v>
      </c>
      <c r="E6" s="7" t="s">
        <v>107</v>
      </c>
      <c r="F6" t="s">
        <v>108</v>
      </c>
    </row>
    <row r="7" spans="1:6" x14ac:dyDescent="0.3">
      <c r="A7" t="s">
        <v>55</v>
      </c>
      <c r="B7" t="s">
        <v>50</v>
      </c>
      <c r="C7">
        <v>373612</v>
      </c>
      <c r="D7" s="7">
        <v>2013</v>
      </c>
      <c r="E7" s="7" t="s">
        <v>109</v>
      </c>
      <c r="F7" t="s">
        <v>108</v>
      </c>
    </row>
    <row r="8" spans="1:6" x14ac:dyDescent="0.3">
      <c r="A8" t="s">
        <v>56</v>
      </c>
      <c r="B8" t="s">
        <v>50</v>
      </c>
      <c r="C8">
        <v>466075</v>
      </c>
      <c r="D8" s="7">
        <v>2013</v>
      </c>
      <c r="E8" s="7" t="s">
        <v>110</v>
      </c>
      <c r="F8" t="s">
        <v>108</v>
      </c>
    </row>
    <row r="9" spans="1:6" x14ac:dyDescent="0.3">
      <c r="A9" t="s">
        <v>57</v>
      </c>
      <c r="B9" t="s">
        <v>50</v>
      </c>
      <c r="C9">
        <v>265162</v>
      </c>
      <c r="D9" s="7">
        <v>2013</v>
      </c>
      <c r="E9" s="7" t="s">
        <v>111</v>
      </c>
      <c r="F9" t="s">
        <v>108</v>
      </c>
    </row>
    <row r="10" spans="1:6" x14ac:dyDescent="0.3">
      <c r="A10" t="s">
        <v>58</v>
      </c>
      <c r="B10" t="s">
        <v>50</v>
      </c>
      <c r="C10">
        <v>194886</v>
      </c>
      <c r="D10" s="7">
        <v>2014</v>
      </c>
      <c r="E10" s="7" t="s">
        <v>107</v>
      </c>
      <c r="F10" t="s">
        <v>108</v>
      </c>
    </row>
    <row r="11" spans="1:6" x14ac:dyDescent="0.3">
      <c r="A11" t="s">
        <v>59</v>
      </c>
      <c r="B11" t="s">
        <v>50</v>
      </c>
      <c r="C11">
        <v>468186</v>
      </c>
      <c r="D11" s="7">
        <v>2014</v>
      </c>
      <c r="E11" s="7" t="s">
        <v>109</v>
      </c>
      <c r="F11" t="s">
        <v>108</v>
      </c>
    </row>
    <row r="12" spans="1:6" x14ac:dyDescent="0.3">
      <c r="A12" t="s">
        <v>60</v>
      </c>
      <c r="B12" t="s">
        <v>50</v>
      </c>
      <c r="C12">
        <v>559929</v>
      </c>
      <c r="D12" s="7">
        <v>2014</v>
      </c>
      <c r="E12" s="7" t="s">
        <v>110</v>
      </c>
      <c r="F12" t="s">
        <v>108</v>
      </c>
    </row>
    <row r="13" spans="1:6" x14ac:dyDescent="0.3">
      <c r="A13" t="s">
        <v>61</v>
      </c>
      <c r="B13" t="s">
        <v>50</v>
      </c>
      <c r="C13">
        <v>332224</v>
      </c>
      <c r="D13" s="7">
        <v>2014</v>
      </c>
      <c r="E13" s="7" t="s">
        <v>111</v>
      </c>
      <c r="F13" t="s">
        <v>108</v>
      </c>
    </row>
    <row r="14" spans="1:6" x14ac:dyDescent="0.3">
      <c r="A14" t="s">
        <v>62</v>
      </c>
      <c r="B14" t="s">
        <v>50</v>
      </c>
      <c r="C14">
        <v>260625</v>
      </c>
      <c r="D14" s="7">
        <v>2015</v>
      </c>
      <c r="E14" s="7" t="s">
        <v>107</v>
      </c>
      <c r="F14" t="s">
        <v>108</v>
      </c>
    </row>
    <row r="15" spans="1:6" x14ac:dyDescent="0.3">
      <c r="A15" t="s">
        <v>63</v>
      </c>
      <c r="B15" t="s">
        <v>50</v>
      </c>
      <c r="C15">
        <v>470946</v>
      </c>
      <c r="D15" s="7">
        <v>2015</v>
      </c>
      <c r="E15" s="7" t="s">
        <v>109</v>
      </c>
      <c r="F15" t="s">
        <v>108</v>
      </c>
    </row>
    <row r="16" spans="1:6" x14ac:dyDescent="0.3">
      <c r="A16" t="s">
        <v>64</v>
      </c>
      <c r="B16" t="s">
        <v>50</v>
      </c>
      <c r="C16">
        <v>565509</v>
      </c>
      <c r="D16" s="7">
        <v>2015</v>
      </c>
      <c r="E16" s="7" t="s">
        <v>110</v>
      </c>
      <c r="F16" t="s">
        <v>108</v>
      </c>
    </row>
    <row r="17" spans="1:6" x14ac:dyDescent="0.3">
      <c r="A17" t="s">
        <v>65</v>
      </c>
      <c r="B17" t="s">
        <v>50</v>
      </c>
      <c r="C17">
        <v>345808</v>
      </c>
      <c r="D17" s="7">
        <v>2015</v>
      </c>
      <c r="E17" s="7" t="s">
        <v>111</v>
      </c>
      <c r="F17" t="s">
        <v>108</v>
      </c>
    </row>
    <row r="18" spans="1:6" x14ac:dyDescent="0.3">
      <c r="A18" t="s">
        <v>66</v>
      </c>
      <c r="B18" t="s">
        <v>50</v>
      </c>
      <c r="C18">
        <v>282929</v>
      </c>
      <c r="D18" s="7">
        <v>2016</v>
      </c>
      <c r="E18" s="7" t="s">
        <v>107</v>
      </c>
      <c r="F18" t="s">
        <v>108</v>
      </c>
    </row>
    <row r="19" spans="1:6" x14ac:dyDescent="0.3">
      <c r="A19" t="s">
        <v>67</v>
      </c>
      <c r="B19" t="s">
        <v>50</v>
      </c>
      <c r="C19">
        <v>481657</v>
      </c>
      <c r="D19" s="7">
        <v>2016</v>
      </c>
      <c r="E19" s="7" t="s">
        <v>109</v>
      </c>
      <c r="F19" t="s">
        <v>108</v>
      </c>
    </row>
    <row r="20" spans="1:6" x14ac:dyDescent="0.3">
      <c r="A20" t="s">
        <v>68</v>
      </c>
      <c r="B20" t="s">
        <v>50</v>
      </c>
      <c r="C20">
        <v>562727</v>
      </c>
      <c r="D20" s="7">
        <v>2016</v>
      </c>
      <c r="E20" s="7" t="s">
        <v>110</v>
      </c>
      <c r="F20" t="s">
        <v>108</v>
      </c>
    </row>
    <row r="21" spans="1:6" x14ac:dyDescent="0.3">
      <c r="A21" t="s">
        <v>69</v>
      </c>
      <c r="B21" t="s">
        <v>50</v>
      </c>
      <c r="C21">
        <v>347254</v>
      </c>
      <c r="D21" s="7">
        <v>2016</v>
      </c>
      <c r="E21" s="7" t="s">
        <v>111</v>
      </c>
      <c r="F21" t="s">
        <v>108</v>
      </c>
    </row>
    <row r="22" spans="1:6" x14ac:dyDescent="0.3">
      <c r="A22" t="s">
        <v>70</v>
      </c>
      <c r="B22" t="s">
        <v>50</v>
      </c>
      <c r="C22">
        <v>271753</v>
      </c>
      <c r="D22" s="7">
        <v>2017</v>
      </c>
      <c r="E22" s="7" t="s">
        <v>107</v>
      </c>
      <c r="F22" t="s">
        <v>108</v>
      </c>
    </row>
    <row r="23" spans="1:6" x14ac:dyDescent="0.3">
      <c r="A23" t="s">
        <v>71</v>
      </c>
      <c r="B23" t="s">
        <v>50</v>
      </c>
      <c r="C23">
        <v>454971</v>
      </c>
      <c r="D23" s="7">
        <v>2017</v>
      </c>
      <c r="E23" s="7" t="s">
        <v>109</v>
      </c>
      <c r="F23" t="s">
        <v>108</v>
      </c>
    </row>
    <row r="24" spans="1:6" x14ac:dyDescent="0.3">
      <c r="A24" t="s">
        <v>72</v>
      </c>
      <c r="B24" t="s">
        <v>50</v>
      </c>
      <c r="C24">
        <v>531272</v>
      </c>
      <c r="D24" s="7">
        <v>2017</v>
      </c>
      <c r="E24" s="7" t="s">
        <v>110</v>
      </c>
      <c r="F24" t="s">
        <v>108</v>
      </c>
    </row>
    <row r="25" spans="1:6" x14ac:dyDescent="0.3">
      <c r="A25" t="s">
        <v>73</v>
      </c>
      <c r="B25" t="s">
        <v>50</v>
      </c>
      <c r="C25">
        <v>341394</v>
      </c>
      <c r="D25" s="7">
        <v>2017</v>
      </c>
      <c r="E25" s="7" t="s">
        <v>111</v>
      </c>
      <c r="F25" t="s">
        <v>108</v>
      </c>
    </row>
    <row r="26" spans="1:6" x14ac:dyDescent="0.3">
      <c r="A26" t="s">
        <v>74</v>
      </c>
      <c r="B26" t="s">
        <v>50</v>
      </c>
      <c r="C26">
        <v>277070</v>
      </c>
      <c r="D26" s="7">
        <v>2018</v>
      </c>
      <c r="E26" s="7" t="s">
        <v>107</v>
      </c>
      <c r="F26" t="s">
        <v>108</v>
      </c>
    </row>
    <row r="27" spans="1:6" x14ac:dyDescent="0.3">
      <c r="A27" t="s">
        <v>75</v>
      </c>
      <c r="B27" t="s">
        <v>50</v>
      </c>
      <c r="C27">
        <v>486168</v>
      </c>
      <c r="D27" s="7">
        <v>2018</v>
      </c>
      <c r="E27" s="7" t="s">
        <v>109</v>
      </c>
      <c r="F27" t="s">
        <v>108</v>
      </c>
    </row>
    <row r="28" spans="1:6" x14ac:dyDescent="0.3">
      <c r="A28" t="s">
        <v>76</v>
      </c>
      <c r="B28" t="s">
        <v>50</v>
      </c>
      <c r="C28">
        <v>561411</v>
      </c>
      <c r="D28" s="7">
        <v>2018</v>
      </c>
      <c r="E28" s="7" t="s">
        <v>110</v>
      </c>
      <c r="F28" t="s">
        <v>108</v>
      </c>
    </row>
    <row r="29" spans="1:6" x14ac:dyDescent="0.3">
      <c r="A29" t="s">
        <v>77</v>
      </c>
      <c r="B29" t="s">
        <v>50</v>
      </c>
      <c r="C29">
        <v>353012</v>
      </c>
      <c r="D29" s="7">
        <v>2018</v>
      </c>
      <c r="E29" s="7" t="s">
        <v>111</v>
      </c>
      <c r="F29" t="s">
        <v>108</v>
      </c>
    </row>
    <row r="30" spans="1:6" x14ac:dyDescent="0.3">
      <c r="A30" t="s">
        <v>78</v>
      </c>
      <c r="B30" t="s">
        <v>50</v>
      </c>
      <c r="C30">
        <v>269887</v>
      </c>
      <c r="D30" s="7">
        <v>2019</v>
      </c>
      <c r="E30" s="7" t="s">
        <v>107</v>
      </c>
      <c r="F30" t="s">
        <v>108</v>
      </c>
    </row>
    <row r="31" spans="1:6" x14ac:dyDescent="0.3">
      <c r="A31" t="s">
        <v>79</v>
      </c>
      <c r="B31" t="s">
        <v>50</v>
      </c>
      <c r="C31">
        <v>468422</v>
      </c>
      <c r="D31" s="7">
        <v>2019</v>
      </c>
      <c r="E31" s="7" t="s">
        <v>109</v>
      </c>
      <c r="F31" t="s">
        <v>108</v>
      </c>
    </row>
    <row r="32" spans="1:6" x14ac:dyDescent="0.3">
      <c r="A32" t="s">
        <v>80</v>
      </c>
      <c r="B32" t="s">
        <v>50</v>
      </c>
      <c r="C32">
        <v>536697</v>
      </c>
      <c r="D32" s="7">
        <v>2019</v>
      </c>
      <c r="E32" s="7" t="s">
        <v>110</v>
      </c>
      <c r="F32" t="s">
        <v>108</v>
      </c>
    </row>
    <row r="33" spans="1:6" x14ac:dyDescent="0.3">
      <c r="A33" t="s">
        <v>81</v>
      </c>
      <c r="B33" t="s">
        <v>50</v>
      </c>
      <c r="C33">
        <v>341416</v>
      </c>
      <c r="D33" s="7">
        <v>2019</v>
      </c>
      <c r="E33" s="7" t="s">
        <v>111</v>
      </c>
      <c r="F33" t="s">
        <v>108</v>
      </c>
    </row>
    <row r="34" spans="1:6" x14ac:dyDescent="0.3">
      <c r="A34" t="s">
        <v>82</v>
      </c>
      <c r="B34" t="s">
        <v>50</v>
      </c>
      <c r="C34">
        <v>216228</v>
      </c>
      <c r="D34" s="7">
        <v>2020</v>
      </c>
      <c r="E34" s="7" t="s">
        <v>107</v>
      </c>
      <c r="F34" t="s">
        <v>112</v>
      </c>
    </row>
    <row r="35" spans="1:6" x14ac:dyDescent="0.3">
      <c r="A35" t="s">
        <v>83</v>
      </c>
      <c r="B35" t="s">
        <v>50</v>
      </c>
      <c r="C35">
        <v>120</v>
      </c>
      <c r="D35" s="7">
        <v>2020</v>
      </c>
      <c r="E35" s="7" t="s">
        <v>109</v>
      </c>
      <c r="F35" t="s">
        <v>112</v>
      </c>
    </row>
    <row r="36" spans="1:6" x14ac:dyDescent="0.3">
      <c r="A36" t="s">
        <v>84</v>
      </c>
      <c r="B36" t="s">
        <v>50</v>
      </c>
      <c r="C36">
        <v>45505</v>
      </c>
      <c r="D36" s="7">
        <v>2020</v>
      </c>
      <c r="E36" s="7" t="s">
        <v>110</v>
      </c>
      <c r="F36" t="s">
        <v>112</v>
      </c>
    </row>
    <row r="37" spans="1:6" x14ac:dyDescent="0.3">
      <c r="A37" t="s">
        <v>85</v>
      </c>
      <c r="B37" t="s">
        <v>50</v>
      </c>
      <c r="C37">
        <v>12081</v>
      </c>
      <c r="D37" s="7">
        <v>2020</v>
      </c>
      <c r="E37" s="7" t="s">
        <v>111</v>
      </c>
      <c r="F37" t="s">
        <v>112</v>
      </c>
    </row>
    <row r="38" spans="1:6" x14ac:dyDescent="0.3">
      <c r="A38" t="s">
        <v>86</v>
      </c>
      <c r="B38" t="s">
        <v>50</v>
      </c>
      <c r="C38">
        <v>2322</v>
      </c>
      <c r="D38" s="7">
        <v>2021</v>
      </c>
      <c r="E38" s="7" t="s">
        <v>107</v>
      </c>
      <c r="F38" t="s">
        <v>112</v>
      </c>
    </row>
    <row r="39" spans="1:6" x14ac:dyDescent="0.3">
      <c r="A39" t="s">
        <v>87</v>
      </c>
      <c r="B39" t="s">
        <v>50</v>
      </c>
      <c r="C39">
        <v>10289</v>
      </c>
      <c r="D39" s="7">
        <v>2021</v>
      </c>
      <c r="E39" s="7" t="s">
        <v>109</v>
      </c>
      <c r="F39" t="s">
        <v>112</v>
      </c>
    </row>
    <row r="40" spans="1:6" x14ac:dyDescent="0.3">
      <c r="A40" t="s">
        <v>88</v>
      </c>
      <c r="B40" t="s">
        <v>50</v>
      </c>
      <c r="C40">
        <v>125294</v>
      </c>
      <c r="D40" s="7">
        <v>2021</v>
      </c>
      <c r="E40" s="7" t="s">
        <v>110</v>
      </c>
      <c r="F40" t="s">
        <v>112</v>
      </c>
    </row>
    <row r="41" spans="1:6" x14ac:dyDescent="0.3">
      <c r="A41" t="s">
        <v>89</v>
      </c>
      <c r="B41" t="s">
        <v>50</v>
      </c>
      <c r="C41">
        <v>184257</v>
      </c>
      <c r="D41" s="7">
        <v>2021</v>
      </c>
      <c r="E41" s="7" t="s">
        <v>111</v>
      </c>
      <c r="F41" t="s">
        <v>112</v>
      </c>
    </row>
    <row r="42" spans="1:6" x14ac:dyDescent="0.3">
      <c r="A42" t="s">
        <v>90</v>
      </c>
      <c r="B42" t="s">
        <v>50</v>
      </c>
      <c r="C42">
        <v>181211</v>
      </c>
      <c r="D42" s="7">
        <v>2022</v>
      </c>
      <c r="E42" s="7" t="s">
        <v>107</v>
      </c>
      <c r="F42" t="s">
        <v>113</v>
      </c>
    </row>
    <row r="43" spans="1:6" x14ac:dyDescent="0.3">
      <c r="A43" t="s">
        <v>91</v>
      </c>
      <c r="B43" t="s">
        <v>50</v>
      </c>
      <c r="C43">
        <v>407939</v>
      </c>
      <c r="D43" s="7">
        <v>2022</v>
      </c>
      <c r="E43" s="7" t="s">
        <v>109</v>
      </c>
      <c r="F43" t="s">
        <v>113</v>
      </c>
    </row>
    <row r="44" spans="1:6" x14ac:dyDescent="0.3">
      <c r="A44" t="s">
        <v>92</v>
      </c>
      <c r="B44" t="s">
        <v>50</v>
      </c>
      <c r="C44">
        <v>465036</v>
      </c>
      <c r="D44" s="7">
        <v>2022</v>
      </c>
      <c r="E44" s="7" t="s">
        <v>110</v>
      </c>
      <c r="F44" t="s">
        <v>113</v>
      </c>
    </row>
    <row r="45" spans="1:6" x14ac:dyDescent="0.3">
      <c r="A45" t="s">
        <v>93</v>
      </c>
      <c r="B45" t="s">
        <v>50</v>
      </c>
      <c r="C45">
        <v>367771</v>
      </c>
      <c r="D45" s="7">
        <v>2022</v>
      </c>
      <c r="E45" s="7" t="s">
        <v>111</v>
      </c>
      <c r="F45" t="s">
        <v>113</v>
      </c>
    </row>
    <row r="46" spans="1:6" x14ac:dyDescent="0.3">
      <c r="A46" t="s">
        <v>94</v>
      </c>
      <c r="B46" t="s">
        <v>50</v>
      </c>
      <c r="C46">
        <v>328493</v>
      </c>
      <c r="D46" s="7">
        <v>2023</v>
      </c>
      <c r="E46" s="7" t="s">
        <v>107</v>
      </c>
      <c r="F46" t="s">
        <v>113</v>
      </c>
    </row>
    <row r="47" spans="1:6" x14ac:dyDescent="0.3">
      <c r="A47" t="s">
        <v>95</v>
      </c>
      <c r="B47" t="s">
        <v>50</v>
      </c>
      <c r="C47">
        <v>546423</v>
      </c>
      <c r="D47" s="7">
        <v>2023</v>
      </c>
      <c r="E47" s="7" t="s">
        <v>109</v>
      </c>
      <c r="F47" t="s">
        <v>113</v>
      </c>
    </row>
    <row r="48" spans="1:6" x14ac:dyDescent="0.3">
      <c r="A48" t="s">
        <v>96</v>
      </c>
      <c r="B48" t="s">
        <v>50</v>
      </c>
      <c r="C48">
        <v>601388</v>
      </c>
      <c r="D48" s="7">
        <v>2023</v>
      </c>
      <c r="E48" s="7" t="s">
        <v>110</v>
      </c>
      <c r="F48" t="s">
        <v>113</v>
      </c>
    </row>
    <row r="49" spans="1:6" x14ac:dyDescent="0.3">
      <c r="A49" t="s">
        <v>97</v>
      </c>
      <c r="B49" t="s">
        <v>50</v>
      </c>
      <c r="C49">
        <v>421295</v>
      </c>
      <c r="D49" s="7">
        <v>2023</v>
      </c>
      <c r="E49" s="7" t="s">
        <v>111</v>
      </c>
      <c r="F49" t="s">
        <v>113</v>
      </c>
    </row>
    <row r="50" spans="1:6" x14ac:dyDescent="0.3">
      <c r="A50" t="s">
        <v>98</v>
      </c>
      <c r="B50" t="s">
        <v>50</v>
      </c>
      <c r="C50">
        <v>369746</v>
      </c>
      <c r="D50" s="7">
        <v>2024</v>
      </c>
      <c r="E50" s="7" t="s">
        <v>107</v>
      </c>
      <c r="F50" t="s">
        <v>113</v>
      </c>
    </row>
    <row r="51" spans="1:6" x14ac:dyDescent="0.3">
      <c r="A51" t="s">
        <v>99</v>
      </c>
      <c r="B51" t="s">
        <v>50</v>
      </c>
      <c r="C51">
        <v>576113</v>
      </c>
      <c r="D51" s="7">
        <v>2024</v>
      </c>
      <c r="E51" s="7" t="s">
        <v>109</v>
      </c>
      <c r="F51" t="s">
        <v>113</v>
      </c>
    </row>
    <row r="52" spans="1:6" x14ac:dyDescent="0.3">
      <c r="A52" t="s">
        <v>100</v>
      </c>
      <c r="B52" t="s">
        <v>50</v>
      </c>
      <c r="C52">
        <v>642440</v>
      </c>
      <c r="D52" s="7">
        <v>2024</v>
      </c>
      <c r="E52" s="7" t="s">
        <v>110</v>
      </c>
      <c r="F52" t="s">
        <v>113</v>
      </c>
    </row>
    <row r="53" spans="1:6" x14ac:dyDescent="0.3">
      <c r="A53" t="s">
        <v>101</v>
      </c>
      <c r="B53" t="s">
        <v>50</v>
      </c>
      <c r="C53">
        <v>462532</v>
      </c>
      <c r="D53" s="7">
        <v>2024</v>
      </c>
      <c r="E53" s="7" t="s">
        <v>111</v>
      </c>
      <c r="F53" t="s">
        <v>113</v>
      </c>
    </row>
    <row r="54" spans="1:6" x14ac:dyDescent="0.3">
      <c r="A54" t="s">
        <v>102</v>
      </c>
      <c r="B54" t="s">
        <v>50</v>
      </c>
      <c r="C54">
        <v>384698</v>
      </c>
      <c r="D54" s="7">
        <v>2025</v>
      </c>
      <c r="E54" s="7" t="s">
        <v>107</v>
      </c>
      <c r="F54" t="s">
        <v>113</v>
      </c>
    </row>
    <row r="55" spans="1:6" x14ac:dyDescent="0.3">
      <c r="A55" t="s">
        <v>103</v>
      </c>
      <c r="B55" t="s">
        <v>50</v>
      </c>
      <c r="C55">
        <v>633511</v>
      </c>
      <c r="D55" s="7">
        <v>2025</v>
      </c>
      <c r="E55" s="7" t="s">
        <v>109</v>
      </c>
      <c r="F55" t="s">
        <v>113</v>
      </c>
    </row>
    <row r="56" spans="1:6" x14ac:dyDescent="0.3">
      <c r="D56" s="7"/>
      <c r="E56" s="7"/>
    </row>
    <row r="57" spans="1:6" x14ac:dyDescent="0.3">
      <c r="D57" s="7"/>
      <c r="E57" s="7"/>
    </row>
    <row r="58" spans="1:6" x14ac:dyDescent="0.3">
      <c r="D58" s="7"/>
      <c r="E58" s="7"/>
    </row>
    <row r="59" spans="1:6" x14ac:dyDescent="0.3">
      <c r="D59" s="7"/>
      <c r="E59" s="7"/>
    </row>
    <row r="60" spans="1:6" x14ac:dyDescent="0.3">
      <c r="D60" s="7"/>
      <c r="E60" s="7"/>
    </row>
    <row r="61" spans="1:6" x14ac:dyDescent="0.3">
      <c r="D61" s="7"/>
      <c r="E61" s="7"/>
    </row>
    <row r="62" spans="1:6" x14ac:dyDescent="0.3">
      <c r="D62" s="7"/>
      <c r="E62" s="7"/>
    </row>
    <row r="63" spans="1:6" x14ac:dyDescent="0.3">
      <c r="D63" s="7"/>
      <c r="E63" s="7"/>
    </row>
    <row r="64" spans="1:6" x14ac:dyDescent="0.3">
      <c r="D64" s="7"/>
      <c r="E64" s="7"/>
    </row>
    <row r="65" spans="4:5" x14ac:dyDescent="0.3">
      <c r="D65" s="7"/>
      <c r="E65" s="7"/>
    </row>
    <row r="66" spans="4:5" x14ac:dyDescent="0.3">
      <c r="D66" s="7"/>
      <c r="E66" s="7"/>
    </row>
    <row r="67" spans="4:5" x14ac:dyDescent="0.3">
      <c r="D67" s="7"/>
      <c r="E67" s="7"/>
    </row>
    <row r="68" spans="4:5" x14ac:dyDescent="0.3">
      <c r="D68" s="7"/>
      <c r="E68" s="7"/>
    </row>
    <row r="69" spans="4:5" x14ac:dyDescent="0.3">
      <c r="D69" s="7"/>
      <c r="E69" s="7"/>
    </row>
    <row r="70" spans="4:5" x14ac:dyDescent="0.3">
      <c r="D70" s="7"/>
      <c r="E70" s="7"/>
    </row>
    <row r="71" spans="4:5" x14ac:dyDescent="0.3">
      <c r="D71" s="7"/>
      <c r="E71" s="7"/>
    </row>
    <row r="72" spans="4:5" x14ac:dyDescent="0.3">
      <c r="D72" s="7"/>
      <c r="E72" s="7"/>
    </row>
    <row r="73" spans="4:5" x14ac:dyDescent="0.3">
      <c r="D73" s="7"/>
      <c r="E73" s="7"/>
    </row>
    <row r="74" spans="4:5" x14ac:dyDescent="0.3">
      <c r="D74" s="7"/>
      <c r="E74" s="7"/>
    </row>
    <row r="75" spans="4:5" x14ac:dyDescent="0.3">
      <c r="D75" s="7"/>
      <c r="E75" s="7"/>
    </row>
    <row r="76" spans="4:5" x14ac:dyDescent="0.3">
      <c r="D76" s="7"/>
      <c r="E76" s="7"/>
    </row>
    <row r="77" spans="4:5" x14ac:dyDescent="0.3">
      <c r="D77" s="7"/>
      <c r="E77" s="7"/>
    </row>
    <row r="78" spans="4:5" x14ac:dyDescent="0.3">
      <c r="D78" s="7"/>
      <c r="E78" s="7"/>
    </row>
    <row r="79" spans="4:5" x14ac:dyDescent="0.3">
      <c r="D79" s="7"/>
      <c r="E79" s="7"/>
    </row>
    <row r="80" spans="4:5" x14ac:dyDescent="0.3">
      <c r="D80" s="7"/>
      <c r="E80" s="7"/>
    </row>
    <row r="81" spans="4:5" x14ac:dyDescent="0.3">
      <c r="D81" s="7"/>
      <c r="E81" s="7"/>
    </row>
    <row r="82" spans="4:5" x14ac:dyDescent="0.3">
      <c r="D82" s="7"/>
      <c r="E82" s="7"/>
    </row>
    <row r="83" spans="4:5" x14ac:dyDescent="0.3">
      <c r="D83" s="7"/>
      <c r="E83" s="7"/>
    </row>
    <row r="84" spans="4:5" x14ac:dyDescent="0.3">
      <c r="D84" s="7"/>
      <c r="E84" s="7"/>
    </row>
    <row r="85" spans="4:5" x14ac:dyDescent="0.3">
      <c r="D85" s="7"/>
      <c r="E85" s="7"/>
    </row>
    <row r="86" spans="4:5" x14ac:dyDescent="0.3">
      <c r="D86" s="7"/>
      <c r="E86" s="7"/>
    </row>
    <row r="87" spans="4:5" x14ac:dyDescent="0.3">
      <c r="D87" s="7"/>
      <c r="E87" s="7"/>
    </row>
    <row r="88" spans="4:5" x14ac:dyDescent="0.3">
      <c r="D88" s="7"/>
      <c r="E88" s="7"/>
    </row>
    <row r="89" spans="4:5" x14ac:dyDescent="0.3">
      <c r="D89" s="7"/>
      <c r="E89" s="7"/>
    </row>
    <row r="90" spans="4:5" x14ac:dyDescent="0.3">
      <c r="D90" s="7"/>
      <c r="E90" s="7"/>
    </row>
    <row r="91" spans="4:5" x14ac:dyDescent="0.3">
      <c r="D91" s="7"/>
      <c r="E91" s="7"/>
    </row>
    <row r="92" spans="4:5" x14ac:dyDescent="0.3">
      <c r="D92" s="7"/>
      <c r="E92" s="7"/>
    </row>
    <row r="93" spans="4:5" x14ac:dyDescent="0.3">
      <c r="D93" s="7"/>
      <c r="E93" s="7"/>
    </row>
    <row r="94" spans="4:5" x14ac:dyDescent="0.3">
      <c r="D94" s="7"/>
      <c r="E94" s="7"/>
    </row>
    <row r="95" spans="4:5" x14ac:dyDescent="0.3">
      <c r="D95" s="7"/>
      <c r="E95" s="7"/>
    </row>
    <row r="96" spans="4:5" x14ac:dyDescent="0.3">
      <c r="D96" s="7"/>
      <c r="E96" s="7"/>
    </row>
    <row r="97" spans="4:5" x14ac:dyDescent="0.3">
      <c r="D97" s="7"/>
      <c r="E97" s="7"/>
    </row>
    <row r="98" spans="4:5" x14ac:dyDescent="0.3">
      <c r="D98" s="7"/>
      <c r="E98" s="7"/>
    </row>
    <row r="99" spans="4:5" x14ac:dyDescent="0.3">
      <c r="D99" s="7"/>
      <c r="E99" s="7"/>
    </row>
    <row r="100" spans="4:5" x14ac:dyDescent="0.3">
      <c r="D100" s="7"/>
      <c r="E100" s="7"/>
    </row>
    <row r="101" spans="4:5" x14ac:dyDescent="0.3">
      <c r="D101" s="7"/>
      <c r="E101" s="7"/>
    </row>
    <row r="102" spans="4:5" x14ac:dyDescent="0.3">
      <c r="D102" s="7"/>
      <c r="E102" s="7"/>
    </row>
    <row r="103" spans="4:5" x14ac:dyDescent="0.3">
      <c r="D103" s="7"/>
      <c r="E103" s="7"/>
    </row>
    <row r="104" spans="4:5" x14ac:dyDescent="0.3">
      <c r="D104" s="7"/>
      <c r="E104" s="7"/>
    </row>
    <row r="105" spans="4:5" x14ac:dyDescent="0.3">
      <c r="D105" s="7"/>
      <c r="E105" s="7"/>
    </row>
    <row r="106" spans="4:5" x14ac:dyDescent="0.3">
      <c r="D106" s="7"/>
      <c r="E106" s="7"/>
    </row>
    <row r="107" spans="4:5" x14ac:dyDescent="0.3">
      <c r="D107" s="7"/>
      <c r="E107" s="7"/>
    </row>
    <row r="108" spans="4:5" x14ac:dyDescent="0.3">
      <c r="D108" s="7"/>
      <c r="E108" s="7"/>
    </row>
    <row r="109" spans="4:5" x14ac:dyDescent="0.3">
      <c r="D109" s="7"/>
      <c r="E109" s="7"/>
    </row>
    <row r="110" spans="4:5" x14ac:dyDescent="0.3">
      <c r="D110" s="7"/>
      <c r="E110" s="7"/>
    </row>
    <row r="111" spans="4:5" x14ac:dyDescent="0.3">
      <c r="D111" s="7"/>
      <c r="E111" s="7"/>
    </row>
    <row r="112" spans="4:5" x14ac:dyDescent="0.3">
      <c r="D112" s="7"/>
      <c r="E112" s="7"/>
    </row>
    <row r="113" spans="4:5" x14ac:dyDescent="0.3">
      <c r="D113" s="7"/>
      <c r="E113" s="7"/>
    </row>
    <row r="114" spans="4:5" x14ac:dyDescent="0.3">
      <c r="D114" s="7"/>
      <c r="E114" s="7"/>
    </row>
    <row r="115" spans="4:5" x14ac:dyDescent="0.3">
      <c r="D115" s="7"/>
      <c r="E115" s="7"/>
    </row>
    <row r="116" spans="4:5" x14ac:dyDescent="0.3">
      <c r="D116" s="7"/>
      <c r="E116" s="7"/>
    </row>
    <row r="117" spans="4:5" x14ac:dyDescent="0.3">
      <c r="D117" s="7"/>
      <c r="E117" s="7"/>
    </row>
    <row r="118" spans="4:5" x14ac:dyDescent="0.3">
      <c r="D118" s="7"/>
      <c r="E118" s="7"/>
    </row>
    <row r="119" spans="4:5" x14ac:dyDescent="0.3">
      <c r="D119" s="7"/>
      <c r="E119" s="7"/>
    </row>
    <row r="120" spans="4:5" x14ac:dyDescent="0.3">
      <c r="D120" s="7"/>
      <c r="E120" s="7"/>
    </row>
    <row r="121" spans="4:5" x14ac:dyDescent="0.3">
      <c r="D121" s="7"/>
      <c r="E121" s="7"/>
    </row>
    <row r="122" spans="4:5" x14ac:dyDescent="0.3">
      <c r="D122" s="7"/>
      <c r="E122" s="7"/>
    </row>
    <row r="123" spans="4:5" x14ac:dyDescent="0.3">
      <c r="D123" s="7"/>
      <c r="E123" s="7"/>
    </row>
    <row r="124" spans="4:5" x14ac:dyDescent="0.3">
      <c r="D124" s="7"/>
      <c r="E124" s="7"/>
    </row>
    <row r="125" spans="4:5" x14ac:dyDescent="0.3">
      <c r="D125" s="7"/>
      <c r="E125" s="7"/>
    </row>
    <row r="126" spans="4:5" x14ac:dyDescent="0.3">
      <c r="D126" s="7"/>
      <c r="E126" s="7"/>
    </row>
    <row r="127" spans="4:5" x14ac:dyDescent="0.3">
      <c r="D127" s="7"/>
      <c r="E127" s="7"/>
    </row>
    <row r="128" spans="4:5" x14ac:dyDescent="0.3">
      <c r="D128" s="7"/>
      <c r="E128" s="7"/>
    </row>
    <row r="129" spans="4:5" x14ac:dyDescent="0.3">
      <c r="D129" s="7"/>
      <c r="E129" s="7"/>
    </row>
    <row r="130" spans="4:5" x14ac:dyDescent="0.3">
      <c r="D130" s="7"/>
      <c r="E130" s="7"/>
    </row>
    <row r="131" spans="4:5" x14ac:dyDescent="0.3">
      <c r="D131" s="7"/>
      <c r="E131" s="7"/>
    </row>
    <row r="132" spans="4:5" x14ac:dyDescent="0.3">
      <c r="D132" s="7"/>
      <c r="E132" s="7"/>
    </row>
    <row r="133" spans="4:5" x14ac:dyDescent="0.3">
      <c r="D133" s="7"/>
      <c r="E133" s="7"/>
    </row>
    <row r="134" spans="4:5" x14ac:dyDescent="0.3">
      <c r="D134" s="7"/>
      <c r="E134" s="7"/>
    </row>
    <row r="135" spans="4:5" x14ac:dyDescent="0.3">
      <c r="D135" s="7"/>
      <c r="E135" s="7"/>
    </row>
    <row r="136" spans="4:5" x14ac:dyDescent="0.3">
      <c r="D136" s="7"/>
      <c r="E136" s="7"/>
    </row>
    <row r="137" spans="4:5" x14ac:dyDescent="0.3">
      <c r="D137" s="7"/>
      <c r="E137" s="7"/>
    </row>
    <row r="138" spans="4:5" x14ac:dyDescent="0.3">
      <c r="D138" s="7"/>
      <c r="E138" s="7"/>
    </row>
    <row r="139" spans="4:5" x14ac:dyDescent="0.3">
      <c r="D139" s="7"/>
      <c r="E139" s="7"/>
    </row>
    <row r="140" spans="4:5" x14ac:dyDescent="0.3">
      <c r="D140" s="7"/>
      <c r="E140" s="7"/>
    </row>
    <row r="141" spans="4:5" x14ac:dyDescent="0.3">
      <c r="D141" s="7"/>
      <c r="E141" s="7"/>
    </row>
    <row r="142" spans="4:5" x14ac:dyDescent="0.3">
      <c r="D142" s="7"/>
      <c r="E142" s="7"/>
    </row>
    <row r="143" spans="4:5" x14ac:dyDescent="0.3">
      <c r="D143" s="7"/>
      <c r="E143" s="7"/>
    </row>
    <row r="144" spans="4:5" x14ac:dyDescent="0.3">
      <c r="D144" s="7"/>
      <c r="E144" s="7"/>
    </row>
    <row r="145" spans="4:5" x14ac:dyDescent="0.3">
      <c r="D145" s="7"/>
      <c r="E145" s="7"/>
    </row>
    <row r="146" spans="4:5" x14ac:dyDescent="0.3">
      <c r="D146" s="7"/>
      <c r="E146" s="7"/>
    </row>
    <row r="147" spans="4:5" x14ac:dyDescent="0.3">
      <c r="D147" s="7"/>
      <c r="E147" s="7"/>
    </row>
    <row r="148" spans="4:5" x14ac:dyDescent="0.3">
      <c r="D148" s="7"/>
      <c r="E148" s="7"/>
    </row>
    <row r="149" spans="4:5" x14ac:dyDescent="0.3">
      <c r="D149" s="7"/>
      <c r="E149" s="7"/>
    </row>
    <row r="150" spans="4:5" x14ac:dyDescent="0.3">
      <c r="D150" s="7"/>
      <c r="E150" s="7"/>
    </row>
    <row r="151" spans="4:5" x14ac:dyDescent="0.3">
      <c r="D151" s="7"/>
      <c r="E151" s="7"/>
    </row>
    <row r="152" spans="4:5" x14ac:dyDescent="0.3">
      <c r="D152" s="7"/>
      <c r="E152" s="7"/>
    </row>
    <row r="153" spans="4:5" x14ac:dyDescent="0.3">
      <c r="D153" s="7"/>
      <c r="E153" s="7"/>
    </row>
    <row r="154" spans="4:5" x14ac:dyDescent="0.3">
      <c r="D154" s="7"/>
      <c r="E154" s="7"/>
    </row>
    <row r="155" spans="4:5" x14ac:dyDescent="0.3">
      <c r="D155" s="7"/>
      <c r="E155" s="7"/>
    </row>
    <row r="156" spans="4:5" x14ac:dyDescent="0.3">
      <c r="D156" s="7"/>
      <c r="E156" s="7"/>
    </row>
    <row r="157" spans="4:5" x14ac:dyDescent="0.3">
      <c r="D157" s="7"/>
      <c r="E157" s="7"/>
    </row>
    <row r="158" spans="4:5" x14ac:dyDescent="0.3">
      <c r="D158" s="7"/>
      <c r="E158" s="7"/>
    </row>
    <row r="159" spans="4:5" x14ac:dyDescent="0.3">
      <c r="D159" s="7"/>
      <c r="E159" s="7"/>
    </row>
    <row r="160" spans="4:5" x14ac:dyDescent="0.3">
      <c r="D160" s="7"/>
      <c r="E160" s="7"/>
    </row>
  </sheetData>
  <autoFilter ref="A1:F1" xr:uid="{7D790D40-D443-441A-A704-804D29383DE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4711-5421-4FC4-AB8C-3877B27F8C49}">
  <dimension ref="A1:AN85"/>
  <sheetViews>
    <sheetView showGridLines="0" zoomScale="70" zoomScaleNormal="70" workbookViewId="0">
      <selection activeCell="I70" sqref="I70"/>
    </sheetView>
  </sheetViews>
  <sheetFormatPr defaultRowHeight="14.4" x14ac:dyDescent="0.3"/>
  <cols>
    <col min="1" max="1" width="8.88671875" style="8"/>
    <col min="2" max="2" width="17.5546875" style="8" bestFit="1" customWidth="1"/>
    <col min="3" max="3" width="19.77734375" style="8" bestFit="1" customWidth="1"/>
    <col min="4" max="6" width="8.88671875" style="8"/>
    <col min="7" max="7" width="19" style="8" customWidth="1"/>
  </cols>
  <sheetData>
    <row r="1" spans="1:40" x14ac:dyDescent="0.3">
      <c r="A1" s="95" t="s">
        <v>105</v>
      </c>
      <c r="B1" s="96" t="s">
        <v>47</v>
      </c>
      <c r="C1" s="97" t="s">
        <v>46</v>
      </c>
      <c r="D1" s="97" t="s">
        <v>48</v>
      </c>
      <c r="E1" s="97" t="s">
        <v>49</v>
      </c>
      <c r="F1" s="97" t="s">
        <v>50</v>
      </c>
      <c r="G1" s="97" t="s">
        <v>41</v>
      </c>
      <c r="AM1" t="s">
        <v>114</v>
      </c>
      <c r="AN1" t="s">
        <v>115</v>
      </c>
    </row>
    <row r="2" spans="1:40" x14ac:dyDescent="0.3">
      <c r="A2" s="81" t="s">
        <v>44</v>
      </c>
      <c r="B2" s="109">
        <v>3740432</v>
      </c>
      <c r="C2" s="81">
        <v>432766</v>
      </c>
      <c r="D2" s="81">
        <v>49557</v>
      </c>
      <c r="E2" s="81">
        <v>3</v>
      </c>
      <c r="F2" s="81">
        <v>215424</v>
      </c>
      <c r="G2" s="81">
        <f>VALUE(LEFT(A2,4))</f>
        <v>2012</v>
      </c>
      <c r="AM2" t="s">
        <v>47</v>
      </c>
      <c r="AN2">
        <v>6209078.9440000001</v>
      </c>
    </row>
    <row r="3" spans="1:40" x14ac:dyDescent="0.3">
      <c r="A3" s="81" t="s">
        <v>51</v>
      </c>
      <c r="B3" s="109">
        <v>5180478</v>
      </c>
      <c r="C3" s="81">
        <v>648839</v>
      </c>
      <c r="D3" s="81">
        <v>81536</v>
      </c>
      <c r="E3" s="81">
        <v>621</v>
      </c>
      <c r="F3" s="81">
        <v>367971</v>
      </c>
      <c r="G3" s="81">
        <f t="shared" ref="G3:G55" si="0">VALUE(LEFT(A3,4))</f>
        <v>2012</v>
      </c>
      <c r="AM3" t="s">
        <v>46</v>
      </c>
      <c r="AN3">
        <v>533698.5</v>
      </c>
    </row>
    <row r="4" spans="1:40" x14ac:dyDescent="0.3">
      <c r="A4" s="81" t="s">
        <v>52</v>
      </c>
      <c r="B4" s="109">
        <v>5851043</v>
      </c>
      <c r="C4" s="81">
        <v>754985</v>
      </c>
      <c r="D4" s="81">
        <v>90438</v>
      </c>
      <c r="E4" s="81">
        <v>2079</v>
      </c>
      <c r="F4" s="81">
        <v>440305</v>
      </c>
      <c r="G4" s="81">
        <f t="shared" si="0"/>
        <v>2012</v>
      </c>
      <c r="AM4" t="s">
        <v>48</v>
      </c>
      <c r="AN4">
        <v>77147.166670000006</v>
      </c>
    </row>
    <row r="5" spans="1:40" x14ac:dyDescent="0.3">
      <c r="A5" s="81" t="s">
        <v>53</v>
      </c>
      <c r="B5" s="109">
        <v>4318828</v>
      </c>
      <c r="C5" s="81">
        <v>497053</v>
      </c>
      <c r="D5" s="81">
        <v>64911</v>
      </c>
      <c r="E5" s="81">
        <v>7048</v>
      </c>
      <c r="F5" s="81">
        <v>262439</v>
      </c>
      <c r="G5" s="81">
        <f t="shared" si="0"/>
        <v>2012</v>
      </c>
      <c r="AM5" t="s">
        <v>49</v>
      </c>
      <c r="AN5">
        <v>164889.9259</v>
      </c>
    </row>
    <row r="6" spans="1:40" x14ac:dyDescent="0.3">
      <c r="A6" s="81" t="s">
        <v>54</v>
      </c>
      <c r="B6" s="109">
        <v>3874988</v>
      </c>
      <c r="C6" s="81">
        <v>436568</v>
      </c>
      <c r="D6" s="81">
        <v>50391</v>
      </c>
      <c r="E6" s="81">
        <v>27513</v>
      </c>
      <c r="F6" s="81">
        <v>203393</v>
      </c>
      <c r="G6" s="81">
        <f t="shared" si="0"/>
        <v>2013</v>
      </c>
      <c r="AM6" t="s">
        <v>50</v>
      </c>
      <c r="AN6">
        <v>358244.92589999997</v>
      </c>
    </row>
    <row r="7" spans="1:40" x14ac:dyDescent="0.3">
      <c r="A7" s="81" t="s">
        <v>55</v>
      </c>
      <c r="B7" s="109">
        <v>5460037</v>
      </c>
      <c r="C7" s="81">
        <v>634674</v>
      </c>
      <c r="D7" s="81">
        <v>89225</v>
      </c>
      <c r="E7" s="81">
        <v>69145</v>
      </c>
      <c r="F7" s="81">
        <v>373612</v>
      </c>
      <c r="G7" s="81">
        <f t="shared" si="0"/>
        <v>2013</v>
      </c>
    </row>
    <row r="8" spans="1:40" x14ac:dyDescent="0.3">
      <c r="A8" s="81" t="s">
        <v>56</v>
      </c>
      <c r="B8" s="109">
        <v>6211891</v>
      </c>
      <c r="C8" s="81">
        <v>713739</v>
      </c>
      <c r="D8" s="81">
        <v>100314</v>
      </c>
      <c r="E8" s="81">
        <v>86381</v>
      </c>
      <c r="F8" s="81">
        <v>466075</v>
      </c>
      <c r="G8" s="81">
        <f t="shared" si="0"/>
        <v>2013</v>
      </c>
    </row>
    <row r="9" spans="1:40" x14ac:dyDescent="0.3">
      <c r="A9" s="81" t="s">
        <v>57</v>
      </c>
      <c r="B9" s="109">
        <v>4601658</v>
      </c>
      <c r="C9" s="81">
        <v>467655</v>
      </c>
      <c r="D9" s="81">
        <v>66112</v>
      </c>
      <c r="E9" s="81">
        <v>100116</v>
      </c>
      <c r="F9" s="81">
        <v>265162</v>
      </c>
      <c r="G9" s="81">
        <f t="shared" si="0"/>
        <v>2013</v>
      </c>
    </row>
    <row r="10" spans="1:40" x14ac:dyDescent="0.3">
      <c r="A10" s="81" t="s">
        <v>58</v>
      </c>
      <c r="B10" s="109">
        <v>4062698</v>
      </c>
      <c r="C10" s="81">
        <v>400785</v>
      </c>
      <c r="D10" s="81">
        <v>45956</v>
      </c>
      <c r="E10" s="81">
        <v>102186</v>
      </c>
      <c r="F10" s="81">
        <v>194886</v>
      </c>
      <c r="G10" s="81">
        <f t="shared" si="0"/>
        <v>2014</v>
      </c>
    </row>
    <row r="11" spans="1:40" x14ac:dyDescent="0.3">
      <c r="A11" s="81" t="s">
        <v>59</v>
      </c>
      <c r="B11" s="109">
        <v>5914826</v>
      </c>
      <c r="C11" s="81">
        <v>610996</v>
      </c>
      <c r="D11" s="81">
        <v>84394</v>
      </c>
      <c r="E11" s="81">
        <v>107936</v>
      </c>
      <c r="F11" s="81">
        <v>468186</v>
      </c>
      <c r="G11" s="81">
        <f t="shared" si="0"/>
        <v>2014</v>
      </c>
    </row>
    <row r="12" spans="1:40" x14ac:dyDescent="0.3">
      <c r="A12" s="81" t="s">
        <v>60</v>
      </c>
      <c r="B12" s="109">
        <v>6617238</v>
      </c>
      <c r="C12" s="81">
        <v>685538</v>
      </c>
      <c r="D12" s="81">
        <v>96963</v>
      </c>
      <c r="E12" s="81">
        <v>107971</v>
      </c>
      <c r="F12" s="81">
        <v>559929</v>
      </c>
      <c r="G12" s="81">
        <f t="shared" si="0"/>
        <v>2014</v>
      </c>
    </row>
    <row r="13" spans="1:40" x14ac:dyDescent="0.3">
      <c r="A13" s="81" t="s">
        <v>61</v>
      </c>
      <c r="B13" s="109">
        <v>5100131</v>
      </c>
      <c r="C13" s="81">
        <v>440738</v>
      </c>
      <c r="D13" s="81">
        <v>67642</v>
      </c>
      <c r="E13" s="81">
        <v>110780</v>
      </c>
      <c r="F13" s="81">
        <v>332224</v>
      </c>
      <c r="G13" s="81">
        <f t="shared" si="0"/>
        <v>2014</v>
      </c>
    </row>
    <row r="14" spans="1:40" x14ac:dyDescent="0.3">
      <c r="A14" s="81" t="s">
        <v>62</v>
      </c>
      <c r="B14" s="109">
        <v>4740924</v>
      </c>
      <c r="C14" s="81">
        <v>379553</v>
      </c>
      <c r="D14" s="81">
        <v>46806</v>
      </c>
      <c r="E14" s="81">
        <v>113413</v>
      </c>
      <c r="F14" s="81">
        <v>260625</v>
      </c>
      <c r="G14" s="81">
        <f t="shared" si="0"/>
        <v>2015</v>
      </c>
    </row>
    <row r="15" spans="1:40" x14ac:dyDescent="0.3">
      <c r="A15" s="81" t="s">
        <v>63</v>
      </c>
      <c r="B15" s="109">
        <v>6733056</v>
      </c>
      <c r="C15" s="81">
        <v>580130</v>
      </c>
      <c r="D15" s="81">
        <v>88309</v>
      </c>
      <c r="E15" s="81">
        <v>123034</v>
      </c>
      <c r="F15" s="81">
        <v>470946</v>
      </c>
      <c r="G15" s="81">
        <f t="shared" si="0"/>
        <v>2015</v>
      </c>
    </row>
    <row r="16" spans="1:40" x14ac:dyDescent="0.3">
      <c r="A16" s="81" t="s">
        <v>64</v>
      </c>
      <c r="B16" s="109">
        <v>7621339</v>
      </c>
      <c r="C16" s="81">
        <v>653801</v>
      </c>
      <c r="D16" s="81">
        <v>99683</v>
      </c>
      <c r="E16" s="81">
        <v>131234</v>
      </c>
      <c r="F16" s="81">
        <v>565509</v>
      </c>
      <c r="G16" s="81">
        <f t="shared" si="0"/>
        <v>2015</v>
      </c>
    </row>
    <row r="17" spans="1:7" x14ac:dyDescent="0.3">
      <c r="A17" s="81" t="s">
        <v>65</v>
      </c>
      <c r="B17" s="109">
        <v>5867199</v>
      </c>
      <c r="C17" s="81">
        <v>452194</v>
      </c>
      <c r="D17" s="81">
        <v>68241</v>
      </c>
      <c r="E17" s="81">
        <v>132657</v>
      </c>
      <c r="F17" s="81">
        <v>345808</v>
      </c>
      <c r="G17" s="81">
        <f t="shared" si="0"/>
        <v>2015</v>
      </c>
    </row>
    <row r="18" spans="1:7" x14ac:dyDescent="0.3">
      <c r="A18" s="81" t="s">
        <v>66</v>
      </c>
      <c r="B18" s="109">
        <v>5534979</v>
      </c>
      <c r="C18" s="81">
        <v>419334</v>
      </c>
      <c r="D18" s="81">
        <v>58771</v>
      </c>
      <c r="E18" s="81">
        <v>134221</v>
      </c>
      <c r="F18" s="81">
        <v>282929</v>
      </c>
      <c r="G18" s="81">
        <f t="shared" si="0"/>
        <v>2016</v>
      </c>
    </row>
    <row r="19" spans="1:7" x14ac:dyDescent="0.3">
      <c r="A19" s="81" t="s">
        <v>67</v>
      </c>
      <c r="B19" s="109">
        <v>7415559</v>
      </c>
      <c r="C19" s="81">
        <v>625599</v>
      </c>
      <c r="D19" s="81">
        <v>91072</v>
      </c>
      <c r="E19" s="81">
        <v>137889</v>
      </c>
      <c r="F19" s="81">
        <v>481657</v>
      </c>
      <c r="G19" s="81">
        <f t="shared" si="0"/>
        <v>2016</v>
      </c>
    </row>
    <row r="20" spans="1:7" x14ac:dyDescent="0.3">
      <c r="A20" s="81" t="s">
        <v>68</v>
      </c>
      <c r="B20" s="109">
        <v>8361602</v>
      </c>
      <c r="C20" s="81">
        <v>706690</v>
      </c>
      <c r="D20" s="81">
        <v>104956</v>
      </c>
      <c r="E20" s="81">
        <v>139708</v>
      </c>
      <c r="F20" s="81">
        <v>562727</v>
      </c>
      <c r="G20" s="81">
        <f t="shared" si="0"/>
        <v>2016</v>
      </c>
    </row>
    <row r="21" spans="1:7" x14ac:dyDescent="0.3">
      <c r="A21" s="81" t="s">
        <v>69</v>
      </c>
      <c r="B21" s="109">
        <v>6466748</v>
      </c>
      <c r="C21" s="81">
        <v>474610</v>
      </c>
      <c r="D21" s="81">
        <v>70871</v>
      </c>
      <c r="E21" s="81">
        <v>142569</v>
      </c>
      <c r="F21" s="81">
        <v>347254</v>
      </c>
      <c r="G21" s="81">
        <f t="shared" si="0"/>
        <v>2016</v>
      </c>
    </row>
    <row r="22" spans="1:7" x14ac:dyDescent="0.3">
      <c r="A22" s="81" t="s">
        <v>70</v>
      </c>
      <c r="B22" s="109">
        <v>5795278</v>
      </c>
      <c r="C22" s="81">
        <v>418458</v>
      </c>
      <c r="D22" s="81">
        <v>59034</v>
      </c>
      <c r="E22" s="81">
        <v>143805</v>
      </c>
      <c r="F22" s="81">
        <v>271753</v>
      </c>
      <c r="G22" s="81">
        <f t="shared" si="0"/>
        <v>2017</v>
      </c>
    </row>
    <row r="23" spans="1:7" x14ac:dyDescent="0.3">
      <c r="A23" s="81" t="s">
        <v>71</v>
      </c>
      <c r="B23" s="109">
        <v>7960058</v>
      </c>
      <c r="C23" s="81">
        <v>637491</v>
      </c>
      <c r="D23" s="81">
        <v>98536</v>
      </c>
      <c r="E23" s="81">
        <v>144910</v>
      </c>
      <c r="F23" s="81">
        <v>454971</v>
      </c>
      <c r="G23" s="81">
        <f t="shared" si="0"/>
        <v>2017</v>
      </c>
    </row>
    <row r="24" spans="1:7" x14ac:dyDescent="0.3">
      <c r="A24" s="81" t="s">
        <v>72</v>
      </c>
      <c r="B24" s="109">
        <v>8893941</v>
      </c>
      <c r="C24" s="81">
        <v>752138</v>
      </c>
      <c r="D24" s="81">
        <v>102166</v>
      </c>
      <c r="E24" s="81">
        <v>158563</v>
      </c>
      <c r="F24" s="81">
        <v>531272</v>
      </c>
      <c r="G24" s="81">
        <f t="shared" si="0"/>
        <v>2017</v>
      </c>
    </row>
    <row r="25" spans="1:7" x14ac:dyDescent="0.3">
      <c r="A25" s="81" t="s">
        <v>73</v>
      </c>
      <c r="B25" s="109">
        <v>6805197</v>
      </c>
      <c r="C25" s="81">
        <v>493363</v>
      </c>
      <c r="D25" s="81">
        <v>75744</v>
      </c>
      <c r="E25" s="81">
        <v>158595</v>
      </c>
      <c r="F25" s="81">
        <v>341394</v>
      </c>
      <c r="G25" s="81">
        <f t="shared" si="0"/>
        <v>2017</v>
      </c>
    </row>
    <row r="26" spans="1:7" x14ac:dyDescent="0.3">
      <c r="A26" s="81" t="s">
        <v>74</v>
      </c>
      <c r="B26" s="109">
        <v>6037482</v>
      </c>
      <c r="C26" s="81">
        <v>428618</v>
      </c>
      <c r="D26" s="81">
        <v>65439</v>
      </c>
      <c r="E26" s="81">
        <v>160780</v>
      </c>
      <c r="F26" s="81">
        <v>277070</v>
      </c>
      <c r="G26" s="81">
        <f t="shared" si="0"/>
        <v>2018</v>
      </c>
    </row>
    <row r="27" spans="1:7" x14ac:dyDescent="0.3">
      <c r="A27" s="81" t="s">
        <v>75</v>
      </c>
      <c r="B27" s="109">
        <v>8558244</v>
      </c>
      <c r="C27" s="81">
        <v>665643</v>
      </c>
      <c r="D27" s="81">
        <v>103617</v>
      </c>
      <c r="E27" s="81">
        <v>168444</v>
      </c>
      <c r="F27" s="81">
        <v>486168</v>
      </c>
      <c r="G27" s="81">
        <f t="shared" si="0"/>
        <v>2018</v>
      </c>
    </row>
    <row r="28" spans="1:7" x14ac:dyDescent="0.3">
      <c r="A28" s="81" t="s">
        <v>76</v>
      </c>
      <c r="B28" s="109">
        <v>9430981</v>
      </c>
      <c r="C28" s="81">
        <v>773012</v>
      </c>
      <c r="D28" s="81">
        <v>114010</v>
      </c>
      <c r="E28" s="81">
        <v>170516</v>
      </c>
      <c r="F28" s="81">
        <v>561411</v>
      </c>
      <c r="G28" s="81">
        <f t="shared" si="0"/>
        <v>2018</v>
      </c>
    </row>
    <row r="29" spans="1:7" x14ac:dyDescent="0.3">
      <c r="A29" s="81" t="s">
        <v>77</v>
      </c>
      <c r="B29" s="109">
        <v>7292712</v>
      </c>
      <c r="C29" s="81">
        <v>520533</v>
      </c>
      <c r="D29" s="81">
        <v>82273</v>
      </c>
      <c r="E29" s="81">
        <v>170536</v>
      </c>
      <c r="F29" s="81">
        <v>353012</v>
      </c>
      <c r="G29" s="81">
        <f t="shared" si="0"/>
        <v>2018</v>
      </c>
    </row>
    <row r="30" spans="1:7" x14ac:dyDescent="0.3">
      <c r="A30" s="81" t="s">
        <v>78</v>
      </c>
      <c r="B30" s="109">
        <v>6480314</v>
      </c>
      <c r="C30" s="81">
        <v>474297</v>
      </c>
      <c r="D30" s="81">
        <v>68606</v>
      </c>
      <c r="E30" s="81">
        <v>180453</v>
      </c>
      <c r="F30" s="81">
        <v>269887</v>
      </c>
      <c r="G30" s="81">
        <f t="shared" si="0"/>
        <v>2019</v>
      </c>
    </row>
    <row r="31" spans="1:7" x14ac:dyDescent="0.3">
      <c r="A31" s="81" t="s">
        <v>79</v>
      </c>
      <c r="B31" s="109">
        <v>8957586</v>
      </c>
      <c r="C31" s="81">
        <v>728548</v>
      </c>
      <c r="D31" s="81">
        <v>102534</v>
      </c>
      <c r="E31" s="81">
        <v>182254</v>
      </c>
      <c r="F31" s="81">
        <v>468422</v>
      </c>
      <c r="G31" s="81">
        <f t="shared" si="0"/>
        <v>2019</v>
      </c>
    </row>
    <row r="32" spans="1:7" x14ac:dyDescent="0.3">
      <c r="A32" s="81" t="s">
        <v>80</v>
      </c>
      <c r="B32" s="109">
        <v>9852369</v>
      </c>
      <c r="C32" s="81">
        <v>832198</v>
      </c>
      <c r="D32" s="81">
        <v>116018</v>
      </c>
      <c r="E32" s="81">
        <v>189501</v>
      </c>
      <c r="F32" s="81">
        <v>536697</v>
      </c>
      <c r="G32" s="81">
        <f t="shared" si="0"/>
        <v>2019</v>
      </c>
    </row>
    <row r="33" spans="1:7" x14ac:dyDescent="0.3">
      <c r="A33" s="81" t="s">
        <v>81</v>
      </c>
      <c r="B33" s="109">
        <v>7385982</v>
      </c>
      <c r="C33" s="81">
        <v>550423</v>
      </c>
      <c r="D33" s="81">
        <v>82678</v>
      </c>
      <c r="E33" s="81">
        <v>190172</v>
      </c>
      <c r="F33" s="81">
        <v>341416</v>
      </c>
      <c r="G33" s="81">
        <f t="shared" si="0"/>
        <v>2019</v>
      </c>
    </row>
    <row r="34" spans="1:7" x14ac:dyDescent="0.3">
      <c r="A34" s="81" t="s">
        <v>82</v>
      </c>
      <c r="B34" s="109">
        <v>5139128</v>
      </c>
      <c r="C34" s="81">
        <v>397387</v>
      </c>
      <c r="D34" s="81">
        <v>55763</v>
      </c>
      <c r="E34" s="81">
        <v>199427</v>
      </c>
      <c r="F34" s="81">
        <v>216228</v>
      </c>
      <c r="G34" s="81">
        <f t="shared" si="0"/>
        <v>2020</v>
      </c>
    </row>
    <row r="35" spans="1:7" x14ac:dyDescent="0.3">
      <c r="A35" s="81" t="s">
        <v>83</v>
      </c>
      <c r="B35" s="109">
        <v>155592</v>
      </c>
      <c r="C35" s="81">
        <v>7879</v>
      </c>
      <c r="D35" s="81">
        <v>808</v>
      </c>
      <c r="E35" s="81">
        <v>200028</v>
      </c>
      <c r="F35" s="81">
        <v>120</v>
      </c>
      <c r="G35" s="81">
        <f t="shared" si="0"/>
        <v>2020</v>
      </c>
    </row>
    <row r="36" spans="1:7" x14ac:dyDescent="0.3">
      <c r="A36" s="81" t="s">
        <v>84</v>
      </c>
      <c r="B36" s="109">
        <v>1270411</v>
      </c>
      <c r="C36" s="81">
        <v>90287</v>
      </c>
      <c r="D36" s="81">
        <v>19968</v>
      </c>
      <c r="E36" s="81">
        <v>200042</v>
      </c>
      <c r="F36" s="81">
        <v>45505</v>
      </c>
      <c r="G36" s="81">
        <f t="shared" si="0"/>
        <v>2020</v>
      </c>
    </row>
    <row r="37" spans="1:7" x14ac:dyDescent="0.3">
      <c r="A37" s="81" t="s">
        <v>85</v>
      </c>
      <c r="B37" s="109">
        <v>702109</v>
      </c>
      <c r="C37" s="81">
        <v>31461</v>
      </c>
      <c r="D37" s="81">
        <v>6420</v>
      </c>
      <c r="E37" s="81">
        <v>200333</v>
      </c>
      <c r="F37" s="81">
        <v>12081</v>
      </c>
      <c r="G37" s="81">
        <f t="shared" si="0"/>
        <v>2020</v>
      </c>
    </row>
    <row r="38" spans="1:7" x14ac:dyDescent="0.3">
      <c r="A38" s="81" t="s">
        <v>86</v>
      </c>
      <c r="B38" s="109">
        <v>405112</v>
      </c>
      <c r="C38" s="81">
        <v>8926</v>
      </c>
      <c r="D38" s="81">
        <v>1988</v>
      </c>
      <c r="E38" s="81">
        <v>200402</v>
      </c>
      <c r="F38" s="81">
        <v>2322</v>
      </c>
      <c r="G38" s="81">
        <f t="shared" si="0"/>
        <v>2021</v>
      </c>
    </row>
    <row r="39" spans="1:7" x14ac:dyDescent="0.3">
      <c r="A39" s="81" t="s">
        <v>87</v>
      </c>
      <c r="B39" s="109">
        <v>554749</v>
      </c>
      <c r="C39" s="81">
        <v>24931</v>
      </c>
      <c r="D39" s="81">
        <v>4301</v>
      </c>
      <c r="E39" s="81">
        <v>208655</v>
      </c>
      <c r="F39" s="81">
        <v>10289</v>
      </c>
      <c r="G39" s="81">
        <f t="shared" si="0"/>
        <v>2021</v>
      </c>
    </row>
    <row r="40" spans="1:7" x14ac:dyDescent="0.3">
      <c r="A40" s="81" t="s">
        <v>88</v>
      </c>
      <c r="B40" s="109">
        <v>3202834</v>
      </c>
      <c r="C40" s="81">
        <v>133809</v>
      </c>
      <c r="D40" s="81">
        <v>45426</v>
      </c>
      <c r="E40" s="81">
        <v>217471</v>
      </c>
      <c r="F40" s="81">
        <v>125294</v>
      </c>
      <c r="G40" s="81">
        <f t="shared" si="0"/>
        <v>2021</v>
      </c>
    </row>
    <row r="41" spans="1:7" x14ac:dyDescent="0.3">
      <c r="A41" s="81" t="s">
        <v>89</v>
      </c>
      <c r="B41" s="109">
        <v>4103576</v>
      </c>
      <c r="C41" s="81">
        <v>87349</v>
      </c>
      <c r="D41" s="81">
        <v>63683</v>
      </c>
      <c r="E41" s="81">
        <v>222433</v>
      </c>
      <c r="F41" s="81">
        <v>184257</v>
      </c>
      <c r="G41" s="81">
        <f t="shared" si="0"/>
        <v>2021</v>
      </c>
    </row>
    <row r="42" spans="1:7" x14ac:dyDescent="0.3">
      <c r="A42" s="81" t="s">
        <v>90</v>
      </c>
      <c r="B42" s="109">
        <v>4099571</v>
      </c>
      <c r="C42" s="81">
        <v>288323</v>
      </c>
      <c r="D42" s="81">
        <v>44836</v>
      </c>
      <c r="E42" s="81">
        <v>226306</v>
      </c>
      <c r="F42" s="81">
        <v>181211</v>
      </c>
      <c r="G42" s="81">
        <f t="shared" si="0"/>
        <v>2022</v>
      </c>
    </row>
    <row r="43" spans="1:7" x14ac:dyDescent="0.3">
      <c r="A43" s="81" t="s">
        <v>91</v>
      </c>
      <c r="B43" s="109">
        <v>7779695</v>
      </c>
      <c r="C43" s="81">
        <v>645215</v>
      </c>
      <c r="D43" s="81">
        <v>102093</v>
      </c>
      <c r="E43" s="81">
        <v>227388</v>
      </c>
      <c r="F43" s="81">
        <v>407939</v>
      </c>
      <c r="G43" s="81">
        <f t="shared" si="0"/>
        <v>2022</v>
      </c>
    </row>
    <row r="44" spans="1:7" x14ac:dyDescent="0.3">
      <c r="A44" s="81" t="s">
        <v>92</v>
      </c>
      <c r="B44" s="109">
        <v>8840733</v>
      </c>
      <c r="C44" s="81">
        <v>767806</v>
      </c>
      <c r="D44" s="81">
        <v>118069</v>
      </c>
      <c r="E44" s="81">
        <v>230010</v>
      </c>
      <c r="F44" s="81">
        <v>465036</v>
      </c>
      <c r="G44" s="81">
        <f t="shared" si="0"/>
        <v>2022</v>
      </c>
    </row>
    <row r="45" spans="1:7" x14ac:dyDescent="0.3">
      <c r="A45" s="81" t="s">
        <v>93</v>
      </c>
      <c r="B45" s="109">
        <v>7073346</v>
      </c>
      <c r="C45" s="81">
        <v>537111</v>
      </c>
      <c r="D45" s="81">
        <v>90045</v>
      </c>
      <c r="E45" s="81">
        <v>230297</v>
      </c>
      <c r="F45" s="81">
        <v>367771</v>
      </c>
      <c r="G45" s="81">
        <f t="shared" si="0"/>
        <v>2022</v>
      </c>
    </row>
    <row r="46" spans="1:7" x14ac:dyDescent="0.3">
      <c r="A46" s="81" t="s">
        <v>94</v>
      </c>
      <c r="B46" s="109">
        <v>6589966</v>
      </c>
      <c r="C46" s="81">
        <v>499021</v>
      </c>
      <c r="D46" s="81">
        <v>72347</v>
      </c>
      <c r="E46" s="81">
        <v>230783</v>
      </c>
      <c r="F46" s="81">
        <v>328493</v>
      </c>
      <c r="G46" s="81">
        <f t="shared" si="0"/>
        <v>2023</v>
      </c>
    </row>
    <row r="47" spans="1:7" x14ac:dyDescent="0.3">
      <c r="A47" s="81" t="s">
        <v>95</v>
      </c>
      <c r="B47" s="109">
        <v>9058940</v>
      </c>
      <c r="C47" s="81">
        <v>791720</v>
      </c>
      <c r="D47" s="81">
        <v>117608</v>
      </c>
      <c r="E47" s="81">
        <v>244849</v>
      </c>
      <c r="F47" s="81">
        <v>546423</v>
      </c>
      <c r="G47" s="81">
        <f t="shared" si="0"/>
        <v>2023</v>
      </c>
    </row>
    <row r="48" spans="1:7" x14ac:dyDescent="0.3">
      <c r="A48" s="81" t="s">
        <v>96</v>
      </c>
      <c r="B48" s="109">
        <v>9929211</v>
      </c>
      <c r="C48" s="81">
        <v>866942</v>
      </c>
      <c r="D48" s="81">
        <v>133729</v>
      </c>
      <c r="E48" s="81">
        <v>251687</v>
      </c>
      <c r="F48" s="81">
        <v>601388</v>
      </c>
      <c r="G48" s="81">
        <f t="shared" si="0"/>
        <v>2023</v>
      </c>
    </row>
    <row r="49" spans="1:7" x14ac:dyDescent="0.3">
      <c r="A49" s="81" t="s">
        <v>97</v>
      </c>
      <c r="B49" s="109">
        <v>7684824</v>
      </c>
      <c r="C49" s="81">
        <v>640341</v>
      </c>
      <c r="D49" s="81">
        <v>90887</v>
      </c>
      <c r="E49" s="81">
        <v>252595</v>
      </c>
      <c r="F49" s="81">
        <v>421295</v>
      </c>
      <c r="G49" s="81">
        <f t="shared" si="0"/>
        <v>2023</v>
      </c>
    </row>
    <row r="50" spans="1:7" x14ac:dyDescent="0.3">
      <c r="A50" s="81" t="s">
        <v>98</v>
      </c>
      <c r="B50" s="109">
        <v>7025552</v>
      </c>
      <c r="C50" s="81">
        <v>601989</v>
      </c>
      <c r="D50" s="81">
        <v>71277</v>
      </c>
      <c r="E50" s="81">
        <v>253641</v>
      </c>
      <c r="F50" s="81">
        <v>369746</v>
      </c>
      <c r="G50" s="81">
        <f t="shared" si="0"/>
        <v>2024</v>
      </c>
    </row>
    <row r="51" spans="1:7" x14ac:dyDescent="0.3">
      <c r="A51" s="81" t="s">
        <v>99</v>
      </c>
      <c r="B51" s="109">
        <v>9479228</v>
      </c>
      <c r="C51" s="81">
        <v>832446</v>
      </c>
      <c r="D51" s="81">
        <v>113094</v>
      </c>
      <c r="E51" s="81">
        <v>253870</v>
      </c>
      <c r="F51" s="81">
        <v>576113</v>
      </c>
      <c r="G51" s="81">
        <f t="shared" si="0"/>
        <v>2024</v>
      </c>
    </row>
    <row r="52" spans="1:7" x14ac:dyDescent="0.3">
      <c r="A52" s="81" t="s">
        <v>100</v>
      </c>
      <c r="B52" s="109">
        <v>10369522</v>
      </c>
      <c r="C52" s="81">
        <v>963202</v>
      </c>
      <c r="D52" s="81">
        <v>135505</v>
      </c>
      <c r="E52" s="81">
        <v>259416</v>
      </c>
      <c r="F52" s="81">
        <v>642440</v>
      </c>
      <c r="G52" s="81">
        <f t="shared" si="0"/>
        <v>2024</v>
      </c>
    </row>
    <row r="53" spans="1:7" x14ac:dyDescent="0.3">
      <c r="A53" s="81" t="s">
        <v>101</v>
      </c>
      <c r="B53" s="109">
        <v>7748958</v>
      </c>
      <c r="C53" s="81">
        <v>670812</v>
      </c>
      <c r="D53" s="81">
        <v>92158</v>
      </c>
      <c r="E53" s="81">
        <v>259988</v>
      </c>
      <c r="F53" s="81">
        <v>462532</v>
      </c>
      <c r="G53" s="81">
        <f t="shared" si="0"/>
        <v>2024</v>
      </c>
    </row>
    <row r="54" spans="1:7" x14ac:dyDescent="0.3">
      <c r="A54" s="81" t="s">
        <v>102</v>
      </c>
      <c r="B54" s="109">
        <v>6933757</v>
      </c>
      <c r="C54" s="81">
        <v>648356</v>
      </c>
      <c r="D54" s="81">
        <v>72175</v>
      </c>
      <c r="E54" s="81">
        <v>268345</v>
      </c>
      <c r="F54" s="81">
        <v>384698</v>
      </c>
      <c r="G54" s="81">
        <f t="shared" si="0"/>
        <v>2025</v>
      </c>
    </row>
    <row r="55" spans="1:7" x14ac:dyDescent="0.3">
      <c r="A55" s="81" t="s">
        <v>103</v>
      </c>
      <c r="B55" s="109">
        <v>10017651</v>
      </c>
      <c r="C55" s="81">
        <v>993437</v>
      </c>
      <c r="D55" s="81">
        <v>126964</v>
      </c>
      <c r="E55" s="81">
        <v>271057</v>
      </c>
      <c r="F55" s="81">
        <v>633511</v>
      </c>
      <c r="G55" s="81">
        <f t="shared" si="0"/>
        <v>2025</v>
      </c>
    </row>
    <row r="63" spans="1:7" x14ac:dyDescent="0.3">
      <c r="B63" s="110" t="s">
        <v>116</v>
      </c>
      <c r="C63" s="110" t="s">
        <v>117</v>
      </c>
    </row>
    <row r="64" spans="1:7" x14ac:dyDescent="0.3">
      <c r="B64" s="111" t="s">
        <v>112</v>
      </c>
      <c r="C64" s="164">
        <v>726106.625</v>
      </c>
    </row>
    <row r="65" spans="2:3" x14ac:dyDescent="0.3">
      <c r="B65" s="28" t="s">
        <v>45</v>
      </c>
      <c r="C65" s="164">
        <v>2178319.875</v>
      </c>
    </row>
    <row r="66" spans="2:3" x14ac:dyDescent="0.3">
      <c r="B66" s="28" t="s">
        <v>46</v>
      </c>
      <c r="C66" s="164">
        <v>97753.625</v>
      </c>
    </row>
    <row r="67" spans="2:3" x14ac:dyDescent="0.3">
      <c r="B67" s="28" t="s">
        <v>47</v>
      </c>
      <c r="C67" s="164">
        <v>1941688.875</v>
      </c>
    </row>
    <row r="68" spans="2:3" x14ac:dyDescent="0.3">
      <c r="B68" s="28" t="s">
        <v>48</v>
      </c>
      <c r="C68" s="164">
        <v>24794.625</v>
      </c>
    </row>
    <row r="69" spans="2:3" x14ac:dyDescent="0.3">
      <c r="B69" s="28" t="s">
        <v>49</v>
      </c>
      <c r="C69" s="164">
        <v>39570.75</v>
      </c>
    </row>
    <row r="70" spans="2:3" x14ac:dyDescent="0.3">
      <c r="B70" s="28" t="s">
        <v>50</v>
      </c>
      <c r="C70" s="164">
        <v>74512</v>
      </c>
    </row>
    <row r="71" spans="2:3" x14ac:dyDescent="0.3">
      <c r="B71" s="111" t="s">
        <v>113</v>
      </c>
      <c r="C71" s="164">
        <v>3165298.9523809524</v>
      </c>
    </row>
    <row r="72" spans="2:3" x14ac:dyDescent="0.3">
      <c r="B72" s="28" t="s">
        <v>45</v>
      </c>
      <c r="C72" s="164">
        <v>9495896.8571428563</v>
      </c>
    </row>
    <row r="73" spans="2:3" x14ac:dyDescent="0.3">
      <c r="B73" s="28" t="s">
        <v>46</v>
      </c>
      <c r="C73" s="164">
        <v>696194.35714285716</v>
      </c>
    </row>
    <row r="74" spans="2:3" x14ac:dyDescent="0.3">
      <c r="B74" s="28" t="s">
        <v>47</v>
      </c>
      <c r="C74" s="164">
        <v>8045068.1428571427</v>
      </c>
    </row>
    <row r="75" spans="2:3" x14ac:dyDescent="0.3">
      <c r="B75" s="28" t="s">
        <v>48</v>
      </c>
      <c r="C75" s="164">
        <v>98627.642857142855</v>
      </c>
    </row>
    <row r="76" spans="2:3" x14ac:dyDescent="0.3">
      <c r="B76" s="28" t="s">
        <v>49</v>
      </c>
      <c r="C76" s="164">
        <v>199678.42857142858</v>
      </c>
    </row>
    <row r="77" spans="2:3" x14ac:dyDescent="0.3">
      <c r="B77" s="28" t="s">
        <v>50</v>
      </c>
      <c r="C77" s="164">
        <v>456328.28571428574</v>
      </c>
    </row>
    <row r="78" spans="2:3" x14ac:dyDescent="0.3">
      <c r="B78" s="111" t="s">
        <v>108</v>
      </c>
      <c r="C78" s="164">
        <v>2564126</v>
      </c>
    </row>
    <row r="79" spans="2:3" x14ac:dyDescent="0.3">
      <c r="B79" s="28" t="s">
        <v>45</v>
      </c>
      <c r="C79" s="164">
        <v>7692378</v>
      </c>
    </row>
    <row r="80" spans="2:3" x14ac:dyDescent="0.3">
      <c r="B80" s="28" t="s">
        <v>46</v>
      </c>
      <c r="C80" s="164">
        <v>571592.78125</v>
      </c>
    </row>
    <row r="81" spans="2:3" x14ac:dyDescent="0.3">
      <c r="B81" s="28" t="s">
        <v>47</v>
      </c>
      <c r="C81" s="164">
        <v>6472681.1875</v>
      </c>
    </row>
    <row r="82" spans="2:3" x14ac:dyDescent="0.3">
      <c r="B82" s="28" t="s">
        <v>48</v>
      </c>
      <c r="C82" s="164">
        <v>80837.59375</v>
      </c>
    </row>
    <row r="83" spans="2:3" x14ac:dyDescent="0.3">
      <c r="B83" s="28" t="s">
        <v>49</v>
      </c>
      <c r="C83" s="164">
        <v>180999.75</v>
      </c>
    </row>
    <row r="84" spans="2:3" x14ac:dyDescent="0.3">
      <c r="B84" s="28" t="s">
        <v>50</v>
      </c>
      <c r="C84" s="164">
        <v>386266.6875</v>
      </c>
    </row>
    <row r="85" spans="2:3" x14ac:dyDescent="0.3">
      <c r="B85" s="110" t="s">
        <v>118</v>
      </c>
      <c r="C85" s="165">
        <v>2447686.4876543209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3059-E484-422E-9347-FA815896A0B2}">
  <dimension ref="A1:Q955"/>
  <sheetViews>
    <sheetView workbookViewId="0">
      <selection activeCell="I25" sqref="I25"/>
    </sheetView>
  </sheetViews>
  <sheetFormatPr defaultRowHeight="14.4" x14ac:dyDescent="0.3"/>
  <cols>
    <col min="1" max="1" width="10.33203125" customWidth="1"/>
    <col min="2" max="2" width="19.109375" customWidth="1"/>
    <col min="3" max="3" width="20.44140625" customWidth="1"/>
    <col min="4" max="4" width="8.88671875" style="8"/>
    <col min="5" max="5" width="17.88671875" style="8" customWidth="1"/>
    <col min="6" max="6" width="12.44140625" customWidth="1"/>
  </cols>
  <sheetData>
    <row r="1" spans="1:17" x14ac:dyDescent="0.3">
      <c r="A1" s="6" t="s">
        <v>38</v>
      </c>
      <c r="B1" s="6" t="s">
        <v>39</v>
      </c>
      <c r="C1" s="6" t="s">
        <v>40</v>
      </c>
      <c r="D1" s="6" t="s">
        <v>41</v>
      </c>
      <c r="E1" s="6" t="s">
        <v>42</v>
      </c>
      <c r="F1" s="6" t="s">
        <v>43</v>
      </c>
      <c r="L1" t="s">
        <v>105</v>
      </c>
      <c r="M1" t="s">
        <v>119</v>
      </c>
      <c r="O1" s="6" t="s">
        <v>40</v>
      </c>
      <c r="P1" s="6" t="s">
        <v>41</v>
      </c>
      <c r="Q1" s="6" t="s">
        <v>42</v>
      </c>
    </row>
    <row r="2" spans="1:17" x14ac:dyDescent="0.3">
      <c r="A2" t="s">
        <v>44</v>
      </c>
      <c r="B2" t="s">
        <v>45</v>
      </c>
      <c r="C2">
        <v>4546115</v>
      </c>
      <c r="D2" s="7">
        <f>VALUE(LEFT(A2,4))</f>
        <v>2012</v>
      </c>
      <c r="E2" s="7" t="str">
        <f t="shared" ref="E2:E65" si="0">RIGHT(A2,2)</f>
        <v>Q1</v>
      </c>
      <c r="F2" t="str">
        <f t="shared" ref="F2:F65" si="1">IF(D2&lt;=2019,"Pre-COVID",IF(D2&lt;=2021,"COVID","Post-COVID"))</f>
        <v>Pre-COVID</v>
      </c>
      <c r="L2" t="s">
        <v>107</v>
      </c>
      <c r="M2">
        <f>AVERAGEIFS(O2:O55,Q2:Q55,"Q1")</f>
        <v>5866724.6428571427</v>
      </c>
      <c r="O2">
        <v>4546115</v>
      </c>
      <c r="P2" s="7">
        <v>2012</v>
      </c>
      <c r="Q2" s="7" t="s">
        <v>107</v>
      </c>
    </row>
    <row r="3" spans="1:17" x14ac:dyDescent="0.3">
      <c r="A3" t="s">
        <v>44</v>
      </c>
      <c r="B3" t="s">
        <v>46</v>
      </c>
      <c r="C3">
        <v>432766</v>
      </c>
      <c r="D3" s="7">
        <f t="shared" ref="D3:D66" si="2">VALUE(LEFT(A3,4))</f>
        <v>2012</v>
      </c>
      <c r="E3" s="7" t="str">
        <f t="shared" si="0"/>
        <v>Q1</v>
      </c>
      <c r="F3" t="str">
        <f t="shared" si="1"/>
        <v>Pre-COVID</v>
      </c>
      <c r="L3" t="s">
        <v>109</v>
      </c>
      <c r="M3">
        <f>AVERAGEIFS(O2:O55,Q2:Q55,"Q2")</f>
        <v>7941135</v>
      </c>
      <c r="O3">
        <v>6478251</v>
      </c>
      <c r="P3" s="7">
        <v>2012</v>
      </c>
      <c r="Q3" s="7" t="s">
        <v>109</v>
      </c>
    </row>
    <row r="4" spans="1:17" x14ac:dyDescent="0.3">
      <c r="A4" t="s">
        <v>44</v>
      </c>
      <c r="B4" t="s">
        <v>47</v>
      </c>
      <c r="C4">
        <v>3740432</v>
      </c>
      <c r="D4" s="7">
        <f t="shared" si="2"/>
        <v>2012</v>
      </c>
      <c r="E4" s="7" t="str">
        <f t="shared" si="0"/>
        <v>Q1</v>
      </c>
      <c r="F4" t="str">
        <f t="shared" si="1"/>
        <v>Pre-COVID</v>
      </c>
      <c r="L4" t="s">
        <v>110</v>
      </c>
      <c r="M4">
        <f>AVERAGEIFS(O2:O55,Q2:Q55,"Q3")</f>
        <v>8873318.0769230761</v>
      </c>
      <c r="O4">
        <v>7367068</v>
      </c>
      <c r="P4" s="7">
        <v>2012</v>
      </c>
      <c r="Q4" s="7" t="s">
        <v>110</v>
      </c>
    </row>
    <row r="5" spans="1:17" x14ac:dyDescent="0.3">
      <c r="A5" t="s">
        <v>44</v>
      </c>
      <c r="B5" t="s">
        <v>48</v>
      </c>
      <c r="C5">
        <v>49557</v>
      </c>
      <c r="D5" s="7">
        <f t="shared" si="2"/>
        <v>2012</v>
      </c>
      <c r="E5" s="7" t="str">
        <f t="shared" si="0"/>
        <v>Q1</v>
      </c>
      <c r="F5" t="str">
        <f t="shared" si="1"/>
        <v>Pre-COVID</v>
      </c>
      <c r="L5" t="s">
        <v>111</v>
      </c>
      <c r="M5">
        <f>AVERAGEIFS(O2:O55,Q2:Q55,"Q4")</f>
        <v>6758618.538461538</v>
      </c>
      <c r="O5">
        <v>5282939</v>
      </c>
      <c r="P5" s="7">
        <v>2012</v>
      </c>
      <c r="Q5" s="7" t="s">
        <v>111</v>
      </c>
    </row>
    <row r="6" spans="1:17" x14ac:dyDescent="0.3">
      <c r="A6" t="s">
        <v>44</v>
      </c>
      <c r="B6" t="s">
        <v>49</v>
      </c>
      <c r="C6">
        <v>107936</v>
      </c>
      <c r="D6" s="7">
        <f t="shared" si="2"/>
        <v>2012</v>
      </c>
      <c r="E6" s="7" t="str">
        <f t="shared" si="0"/>
        <v>Q1</v>
      </c>
      <c r="F6" t="str">
        <f t="shared" si="1"/>
        <v>Pre-COVID</v>
      </c>
      <c r="O6">
        <v>4676120</v>
      </c>
      <c r="P6" s="7">
        <v>2013</v>
      </c>
      <c r="Q6" s="7" t="s">
        <v>107</v>
      </c>
    </row>
    <row r="7" spans="1:17" x14ac:dyDescent="0.3">
      <c r="A7" t="s">
        <v>44</v>
      </c>
      <c r="B7" t="s">
        <v>50</v>
      </c>
      <c r="C7">
        <v>215424</v>
      </c>
      <c r="D7" s="7">
        <f t="shared" si="2"/>
        <v>2012</v>
      </c>
      <c r="E7" s="7" t="str">
        <f t="shared" si="0"/>
        <v>Q1</v>
      </c>
      <c r="F7" t="str">
        <f t="shared" si="1"/>
        <v>Pre-COVID</v>
      </c>
      <c r="O7">
        <v>6747049</v>
      </c>
      <c r="P7" s="7">
        <v>2013</v>
      </c>
      <c r="Q7" s="7" t="s">
        <v>109</v>
      </c>
    </row>
    <row r="8" spans="1:17" x14ac:dyDescent="0.3">
      <c r="A8" t="s">
        <v>51</v>
      </c>
      <c r="B8" t="s">
        <v>45</v>
      </c>
      <c r="C8">
        <v>6478251</v>
      </c>
      <c r="D8" s="7">
        <f t="shared" si="2"/>
        <v>2012</v>
      </c>
      <c r="E8" s="7" t="str">
        <f t="shared" si="0"/>
        <v>Q2</v>
      </c>
      <c r="F8" t="str">
        <f t="shared" si="1"/>
        <v>Pre-COVID</v>
      </c>
      <c r="O8">
        <v>7719407</v>
      </c>
      <c r="P8" s="7">
        <v>2013</v>
      </c>
      <c r="Q8" s="7" t="s">
        <v>110</v>
      </c>
    </row>
    <row r="9" spans="1:17" x14ac:dyDescent="0.3">
      <c r="A9" t="s">
        <v>51</v>
      </c>
      <c r="B9" t="s">
        <v>46</v>
      </c>
      <c r="C9">
        <v>648839</v>
      </c>
      <c r="D9" s="7">
        <f t="shared" si="2"/>
        <v>2012</v>
      </c>
      <c r="E9" s="7" t="str">
        <f t="shared" si="0"/>
        <v>Q2</v>
      </c>
      <c r="F9" t="str">
        <f t="shared" si="1"/>
        <v>Pre-COVID</v>
      </c>
      <c r="O9">
        <v>5538476</v>
      </c>
      <c r="P9" s="7">
        <v>2013</v>
      </c>
      <c r="Q9" s="7" t="s">
        <v>111</v>
      </c>
    </row>
    <row r="10" spans="1:17" x14ac:dyDescent="0.3">
      <c r="A10" t="s">
        <v>51</v>
      </c>
      <c r="B10" t="s">
        <v>47</v>
      </c>
      <c r="C10">
        <v>5180478</v>
      </c>
      <c r="D10" s="7">
        <f t="shared" si="2"/>
        <v>2012</v>
      </c>
      <c r="E10" s="7" t="str">
        <f t="shared" si="0"/>
        <v>Q2</v>
      </c>
      <c r="F10" t="str">
        <f t="shared" si="1"/>
        <v>Pre-COVID</v>
      </c>
      <c r="O10">
        <v>4804441</v>
      </c>
      <c r="P10" s="7">
        <v>2014</v>
      </c>
      <c r="Q10" s="7" t="s">
        <v>107</v>
      </c>
    </row>
    <row r="11" spans="1:17" x14ac:dyDescent="0.3">
      <c r="A11" t="s">
        <v>51</v>
      </c>
      <c r="B11" t="s">
        <v>48</v>
      </c>
      <c r="C11">
        <v>81536</v>
      </c>
      <c r="D11" s="7">
        <f t="shared" si="2"/>
        <v>2012</v>
      </c>
      <c r="E11" s="7" t="str">
        <f t="shared" si="0"/>
        <v>Q2</v>
      </c>
      <c r="F11" t="str">
        <f t="shared" si="1"/>
        <v>Pre-COVID</v>
      </c>
      <c r="O11">
        <v>7278735</v>
      </c>
      <c r="P11" s="7">
        <v>2014</v>
      </c>
      <c r="Q11" s="7" t="s">
        <v>109</v>
      </c>
    </row>
    <row r="12" spans="1:17" x14ac:dyDescent="0.3">
      <c r="A12" t="s">
        <v>51</v>
      </c>
      <c r="B12" t="s">
        <v>49</v>
      </c>
      <c r="C12">
        <v>199427</v>
      </c>
      <c r="D12" s="7">
        <f t="shared" si="2"/>
        <v>2012</v>
      </c>
      <c r="E12" s="7" t="str">
        <f t="shared" si="0"/>
        <v>Q2</v>
      </c>
      <c r="F12" t="str">
        <f t="shared" si="1"/>
        <v>Pre-COVID</v>
      </c>
      <c r="O12">
        <v>8219084</v>
      </c>
      <c r="P12" s="7">
        <v>2014</v>
      </c>
      <c r="Q12" s="7" t="s">
        <v>110</v>
      </c>
    </row>
    <row r="13" spans="1:17" x14ac:dyDescent="0.3">
      <c r="A13" t="s">
        <v>51</v>
      </c>
      <c r="B13" t="s">
        <v>50</v>
      </c>
      <c r="C13">
        <v>367971</v>
      </c>
      <c r="D13" s="7">
        <f t="shared" si="2"/>
        <v>2012</v>
      </c>
      <c r="E13" s="7" t="str">
        <f t="shared" si="0"/>
        <v>Q2</v>
      </c>
      <c r="F13" t="str">
        <f t="shared" si="1"/>
        <v>Pre-COVID</v>
      </c>
      <c r="O13">
        <v>6084540</v>
      </c>
      <c r="P13" s="7">
        <v>2014</v>
      </c>
      <c r="Q13" s="7" t="s">
        <v>111</v>
      </c>
    </row>
    <row r="14" spans="1:17" x14ac:dyDescent="0.3">
      <c r="A14" t="s">
        <v>52</v>
      </c>
      <c r="B14" t="s">
        <v>45</v>
      </c>
      <c r="C14">
        <v>7367068</v>
      </c>
      <c r="D14" s="7">
        <f t="shared" si="2"/>
        <v>2012</v>
      </c>
      <c r="E14" s="7" t="str">
        <f t="shared" si="0"/>
        <v>Q3</v>
      </c>
      <c r="F14" t="str">
        <f t="shared" si="1"/>
        <v>Pre-COVID</v>
      </c>
      <c r="O14">
        <v>5541321</v>
      </c>
      <c r="P14" s="7">
        <v>2015</v>
      </c>
      <c r="Q14" s="7" t="s">
        <v>107</v>
      </c>
    </row>
    <row r="15" spans="1:17" x14ac:dyDescent="0.3">
      <c r="A15" t="s">
        <v>52</v>
      </c>
      <c r="B15" t="s">
        <v>46</v>
      </c>
      <c r="C15">
        <v>754985</v>
      </c>
      <c r="D15" s="7">
        <f t="shared" si="2"/>
        <v>2012</v>
      </c>
      <c r="E15" s="7" t="str">
        <f t="shared" si="0"/>
        <v>Q3</v>
      </c>
      <c r="F15" t="str">
        <f t="shared" si="1"/>
        <v>Pre-COVID</v>
      </c>
      <c r="O15">
        <v>8072483</v>
      </c>
      <c r="P15" s="7">
        <v>2015</v>
      </c>
      <c r="Q15" s="7" t="s">
        <v>109</v>
      </c>
    </row>
    <row r="16" spans="1:17" x14ac:dyDescent="0.3">
      <c r="A16" t="s">
        <v>52</v>
      </c>
      <c r="B16" t="s">
        <v>47</v>
      </c>
      <c r="C16">
        <v>5851043</v>
      </c>
      <c r="D16" s="7">
        <f t="shared" si="2"/>
        <v>2012</v>
      </c>
      <c r="E16" s="7" t="str">
        <f t="shared" si="0"/>
        <v>Q3</v>
      </c>
      <c r="F16" t="str">
        <f t="shared" si="1"/>
        <v>Pre-COVID</v>
      </c>
      <c r="O16">
        <v>9166638</v>
      </c>
      <c r="P16" s="7">
        <v>2015</v>
      </c>
      <c r="Q16" s="7" t="s">
        <v>110</v>
      </c>
    </row>
    <row r="17" spans="1:17" x14ac:dyDescent="0.3">
      <c r="A17" t="s">
        <v>52</v>
      </c>
      <c r="B17" t="s">
        <v>48</v>
      </c>
      <c r="C17">
        <v>90438</v>
      </c>
      <c r="D17" s="7">
        <f t="shared" si="2"/>
        <v>2012</v>
      </c>
      <c r="E17" s="7" t="str">
        <f t="shared" si="0"/>
        <v>Q3</v>
      </c>
      <c r="F17" t="str">
        <f t="shared" si="1"/>
        <v>Pre-COVID</v>
      </c>
      <c r="O17">
        <v>6878352</v>
      </c>
      <c r="P17" s="7">
        <v>2015</v>
      </c>
      <c r="Q17" s="7" t="s">
        <v>111</v>
      </c>
    </row>
    <row r="18" spans="1:17" x14ac:dyDescent="0.3">
      <c r="A18" t="s">
        <v>52</v>
      </c>
      <c r="B18" t="s">
        <v>49</v>
      </c>
      <c r="C18">
        <v>230297</v>
      </c>
      <c r="D18" s="7">
        <f t="shared" si="2"/>
        <v>2012</v>
      </c>
      <c r="E18" s="7" t="str">
        <f t="shared" si="0"/>
        <v>Q3</v>
      </c>
      <c r="F18" t="str">
        <f t="shared" si="1"/>
        <v>Pre-COVID</v>
      </c>
      <c r="O18">
        <v>6419047</v>
      </c>
      <c r="P18" s="7">
        <v>2016</v>
      </c>
      <c r="Q18" s="7" t="s">
        <v>107</v>
      </c>
    </row>
    <row r="19" spans="1:17" x14ac:dyDescent="0.3">
      <c r="A19" t="s">
        <v>52</v>
      </c>
      <c r="B19" t="s">
        <v>50</v>
      </c>
      <c r="C19">
        <v>440305</v>
      </c>
      <c r="D19" s="7">
        <f t="shared" si="2"/>
        <v>2012</v>
      </c>
      <c r="E19" s="7" t="str">
        <f t="shared" si="0"/>
        <v>Q3</v>
      </c>
      <c r="F19" t="str">
        <f t="shared" si="1"/>
        <v>Pre-COVID</v>
      </c>
      <c r="O19">
        <v>8814289</v>
      </c>
      <c r="P19" s="7">
        <v>2016</v>
      </c>
      <c r="Q19" s="7" t="s">
        <v>109</v>
      </c>
    </row>
    <row r="20" spans="1:17" x14ac:dyDescent="0.3">
      <c r="A20" t="s">
        <v>53</v>
      </c>
      <c r="B20" t="s">
        <v>45</v>
      </c>
      <c r="C20">
        <v>5282939</v>
      </c>
      <c r="D20" s="7">
        <f t="shared" si="2"/>
        <v>2012</v>
      </c>
      <c r="E20" s="7" t="str">
        <f t="shared" si="0"/>
        <v>Q4</v>
      </c>
      <c r="F20" t="str">
        <f t="shared" si="1"/>
        <v>Pre-COVID</v>
      </c>
      <c r="O20">
        <v>9989845</v>
      </c>
      <c r="P20" s="7">
        <v>2016</v>
      </c>
      <c r="Q20" s="7" t="s">
        <v>110</v>
      </c>
    </row>
    <row r="21" spans="1:17" x14ac:dyDescent="0.3">
      <c r="A21" t="s">
        <v>53</v>
      </c>
      <c r="B21" t="s">
        <v>46</v>
      </c>
      <c r="C21">
        <v>497053</v>
      </c>
      <c r="D21" s="7">
        <f t="shared" si="2"/>
        <v>2012</v>
      </c>
      <c r="E21" s="7" t="str">
        <f t="shared" si="0"/>
        <v>Q4</v>
      </c>
      <c r="F21" t="str">
        <f t="shared" si="1"/>
        <v>Pre-COVID</v>
      </c>
      <c r="O21">
        <v>7518046</v>
      </c>
      <c r="P21" s="7">
        <v>2016</v>
      </c>
      <c r="Q21" s="7" t="s">
        <v>111</v>
      </c>
    </row>
    <row r="22" spans="1:17" x14ac:dyDescent="0.3">
      <c r="A22" t="s">
        <v>53</v>
      </c>
      <c r="B22" t="s">
        <v>47</v>
      </c>
      <c r="C22">
        <v>4318828</v>
      </c>
      <c r="D22" s="7">
        <f t="shared" si="2"/>
        <v>2012</v>
      </c>
      <c r="E22" s="7" t="str">
        <f t="shared" si="0"/>
        <v>Q4</v>
      </c>
      <c r="F22" t="str">
        <f t="shared" si="1"/>
        <v>Pre-COVID</v>
      </c>
      <c r="O22">
        <v>6678744</v>
      </c>
      <c r="P22" s="7">
        <v>2017</v>
      </c>
      <c r="Q22" s="7" t="s">
        <v>107</v>
      </c>
    </row>
    <row r="23" spans="1:17" x14ac:dyDescent="0.3">
      <c r="A23" t="s">
        <v>53</v>
      </c>
      <c r="B23" t="s">
        <v>48</v>
      </c>
      <c r="C23">
        <v>64911</v>
      </c>
      <c r="D23" s="7">
        <f t="shared" si="2"/>
        <v>2012</v>
      </c>
      <c r="E23" s="7" t="str">
        <f t="shared" si="0"/>
        <v>Q4</v>
      </c>
      <c r="F23" t="str">
        <f t="shared" si="1"/>
        <v>Pre-COVID</v>
      </c>
      <c r="O23">
        <v>9359711</v>
      </c>
      <c r="P23" s="7">
        <v>2017</v>
      </c>
      <c r="Q23" s="7" t="s">
        <v>109</v>
      </c>
    </row>
    <row r="24" spans="1:17" x14ac:dyDescent="0.3">
      <c r="A24" t="s">
        <v>53</v>
      </c>
      <c r="B24" t="s">
        <v>49</v>
      </c>
      <c r="C24">
        <v>139708</v>
      </c>
      <c r="D24" s="7">
        <f t="shared" si="2"/>
        <v>2012</v>
      </c>
      <c r="E24" s="7" t="str">
        <f t="shared" si="0"/>
        <v>Q4</v>
      </c>
      <c r="F24" t="str">
        <f t="shared" si="1"/>
        <v>Pre-COVID</v>
      </c>
      <c r="O24">
        <v>10524366</v>
      </c>
      <c r="P24" s="7">
        <v>2017</v>
      </c>
      <c r="Q24" s="7" t="s">
        <v>110</v>
      </c>
    </row>
    <row r="25" spans="1:17" x14ac:dyDescent="0.3">
      <c r="A25" t="s">
        <v>53</v>
      </c>
      <c r="B25" t="s">
        <v>50</v>
      </c>
      <c r="C25">
        <v>262439</v>
      </c>
      <c r="D25" s="7">
        <f t="shared" si="2"/>
        <v>2012</v>
      </c>
      <c r="E25" s="7" t="str">
        <f t="shared" si="0"/>
        <v>Q4</v>
      </c>
      <c r="F25" t="str">
        <f t="shared" si="1"/>
        <v>Pre-COVID</v>
      </c>
      <c r="O25">
        <v>7876478</v>
      </c>
      <c r="P25" s="7">
        <v>2017</v>
      </c>
      <c r="Q25" s="7" t="s">
        <v>111</v>
      </c>
    </row>
    <row r="26" spans="1:17" x14ac:dyDescent="0.3">
      <c r="A26" t="s">
        <v>54</v>
      </c>
      <c r="B26" t="s">
        <v>45</v>
      </c>
      <c r="C26">
        <v>4676120</v>
      </c>
      <c r="D26" s="7">
        <f t="shared" si="2"/>
        <v>2013</v>
      </c>
      <c r="E26" s="7" t="str">
        <f t="shared" si="0"/>
        <v>Q1</v>
      </c>
      <c r="F26" t="str">
        <f t="shared" si="1"/>
        <v>Pre-COVID</v>
      </c>
      <c r="O26">
        <v>6939843</v>
      </c>
      <c r="P26" s="7">
        <v>2018</v>
      </c>
      <c r="Q26" s="7" t="s">
        <v>107</v>
      </c>
    </row>
    <row r="27" spans="1:17" x14ac:dyDescent="0.3">
      <c r="A27" t="s">
        <v>54</v>
      </c>
      <c r="B27" t="s">
        <v>46</v>
      </c>
      <c r="C27">
        <v>436568</v>
      </c>
      <c r="D27" s="7">
        <f t="shared" si="2"/>
        <v>2013</v>
      </c>
      <c r="E27" s="7" t="str">
        <f t="shared" si="0"/>
        <v>Q1</v>
      </c>
      <c r="F27" t="str">
        <f t="shared" si="1"/>
        <v>Pre-COVID</v>
      </c>
      <c r="O27">
        <v>10031143</v>
      </c>
      <c r="P27" s="7">
        <v>2018</v>
      </c>
      <c r="Q27" s="7" t="s">
        <v>109</v>
      </c>
    </row>
    <row r="28" spans="1:17" x14ac:dyDescent="0.3">
      <c r="A28" t="s">
        <v>54</v>
      </c>
      <c r="B28" t="s">
        <v>47</v>
      </c>
      <c r="C28">
        <v>3874988</v>
      </c>
      <c r="D28" s="7">
        <f t="shared" si="2"/>
        <v>2013</v>
      </c>
      <c r="E28" s="7" t="str">
        <f t="shared" si="0"/>
        <v>Q1</v>
      </c>
      <c r="F28" t="str">
        <f t="shared" si="1"/>
        <v>Pre-COVID</v>
      </c>
      <c r="O28">
        <v>11131101</v>
      </c>
      <c r="P28" s="7">
        <v>2018</v>
      </c>
      <c r="Q28" s="7" t="s">
        <v>110</v>
      </c>
    </row>
    <row r="29" spans="1:17" x14ac:dyDescent="0.3">
      <c r="A29" t="s">
        <v>54</v>
      </c>
      <c r="B29" t="s">
        <v>48</v>
      </c>
      <c r="C29">
        <v>50391</v>
      </c>
      <c r="D29" s="7">
        <f t="shared" si="2"/>
        <v>2013</v>
      </c>
      <c r="E29" s="7" t="str">
        <f t="shared" si="0"/>
        <v>Q1</v>
      </c>
      <c r="F29" t="str">
        <f t="shared" si="1"/>
        <v>Pre-COVID</v>
      </c>
      <c r="O29">
        <v>8419046</v>
      </c>
      <c r="P29" s="7">
        <v>2018</v>
      </c>
      <c r="Q29" s="7" t="s">
        <v>111</v>
      </c>
    </row>
    <row r="30" spans="1:17" x14ac:dyDescent="0.3">
      <c r="A30" t="s">
        <v>54</v>
      </c>
      <c r="B30" t="s">
        <v>49</v>
      </c>
      <c r="C30">
        <v>110780</v>
      </c>
      <c r="D30" s="7">
        <f t="shared" si="2"/>
        <v>2013</v>
      </c>
      <c r="E30" s="7" t="str">
        <f t="shared" si="0"/>
        <v>Q1</v>
      </c>
      <c r="F30" t="str">
        <f t="shared" si="1"/>
        <v>Pre-COVID</v>
      </c>
      <c r="O30">
        <v>7435673</v>
      </c>
      <c r="P30" s="7">
        <v>2019</v>
      </c>
      <c r="Q30" s="7" t="s">
        <v>107</v>
      </c>
    </row>
    <row r="31" spans="1:17" x14ac:dyDescent="0.3">
      <c r="A31" t="s">
        <v>54</v>
      </c>
      <c r="B31" t="s">
        <v>50</v>
      </c>
      <c r="C31">
        <v>203393</v>
      </c>
      <c r="D31" s="7">
        <f t="shared" si="2"/>
        <v>2013</v>
      </c>
      <c r="E31" s="7" t="str">
        <f t="shared" si="0"/>
        <v>Q1</v>
      </c>
      <c r="F31" t="str">
        <f t="shared" si="1"/>
        <v>Pre-COVID</v>
      </c>
      <c r="O31">
        <v>10479523</v>
      </c>
      <c r="P31" s="7">
        <v>2019</v>
      </c>
      <c r="Q31" s="7" t="s">
        <v>109</v>
      </c>
    </row>
    <row r="32" spans="1:17" x14ac:dyDescent="0.3">
      <c r="A32" t="s">
        <v>55</v>
      </c>
      <c r="B32" t="s">
        <v>45</v>
      </c>
      <c r="C32">
        <v>6747049</v>
      </c>
      <c r="D32" s="7">
        <f t="shared" si="2"/>
        <v>2013</v>
      </c>
      <c r="E32" s="7" t="str">
        <f t="shared" si="0"/>
        <v>Q2</v>
      </c>
      <c r="F32" t="str">
        <f t="shared" si="1"/>
        <v>Pre-COVID</v>
      </c>
      <c r="O32">
        <v>11597270</v>
      </c>
      <c r="P32" s="7">
        <v>2019</v>
      </c>
      <c r="Q32" s="7" t="s">
        <v>110</v>
      </c>
    </row>
    <row r="33" spans="1:17" x14ac:dyDescent="0.3">
      <c r="A33" t="s">
        <v>55</v>
      </c>
      <c r="B33" t="s">
        <v>46</v>
      </c>
      <c r="C33">
        <v>634674</v>
      </c>
      <c r="D33" s="7">
        <f t="shared" si="2"/>
        <v>2013</v>
      </c>
      <c r="E33" s="7" t="str">
        <f t="shared" si="0"/>
        <v>Q2</v>
      </c>
      <c r="F33" t="str">
        <f t="shared" si="1"/>
        <v>Pre-COVID</v>
      </c>
      <c r="O33">
        <v>8540952</v>
      </c>
      <c r="P33" s="7">
        <v>2019</v>
      </c>
      <c r="Q33" s="7" t="s">
        <v>111</v>
      </c>
    </row>
    <row r="34" spans="1:17" x14ac:dyDescent="0.3">
      <c r="A34" t="s">
        <v>55</v>
      </c>
      <c r="B34" t="s">
        <v>47</v>
      </c>
      <c r="C34">
        <v>5460037</v>
      </c>
      <c r="D34" s="7">
        <f t="shared" si="2"/>
        <v>2013</v>
      </c>
      <c r="E34" s="7" t="str">
        <f t="shared" si="0"/>
        <v>Q2</v>
      </c>
      <c r="F34" t="str">
        <f t="shared" si="1"/>
        <v>Pre-COVID</v>
      </c>
      <c r="O34">
        <v>5916477</v>
      </c>
      <c r="P34" s="7">
        <v>2020</v>
      </c>
      <c r="Q34" s="7" t="s">
        <v>107</v>
      </c>
    </row>
    <row r="35" spans="1:17" x14ac:dyDescent="0.3">
      <c r="A35" t="s">
        <v>55</v>
      </c>
      <c r="B35" t="s">
        <v>48</v>
      </c>
      <c r="C35">
        <v>89225</v>
      </c>
      <c r="D35" s="7">
        <f t="shared" si="2"/>
        <v>2013</v>
      </c>
      <c r="E35" s="7" t="str">
        <f t="shared" si="0"/>
        <v>Q2</v>
      </c>
      <c r="F35" t="str">
        <f t="shared" si="1"/>
        <v>Pre-COVID</v>
      </c>
      <c r="O35">
        <v>164402</v>
      </c>
      <c r="P35" s="7">
        <v>2020</v>
      </c>
      <c r="Q35" s="7" t="s">
        <v>109</v>
      </c>
    </row>
    <row r="36" spans="1:17" x14ac:dyDescent="0.3">
      <c r="A36" t="s">
        <v>55</v>
      </c>
      <c r="B36" t="s">
        <v>49</v>
      </c>
      <c r="C36">
        <v>189501</v>
      </c>
      <c r="D36" s="7">
        <f t="shared" si="2"/>
        <v>2013</v>
      </c>
      <c r="E36" s="7" t="str">
        <f t="shared" si="0"/>
        <v>Q2</v>
      </c>
      <c r="F36" t="str">
        <f t="shared" si="1"/>
        <v>Pre-COVID</v>
      </c>
      <c r="O36">
        <v>1453684</v>
      </c>
      <c r="P36" s="7">
        <v>2020</v>
      </c>
      <c r="Q36" s="7" t="s">
        <v>110</v>
      </c>
    </row>
    <row r="37" spans="1:17" x14ac:dyDescent="0.3">
      <c r="A37" t="s">
        <v>55</v>
      </c>
      <c r="B37" t="s">
        <v>50</v>
      </c>
      <c r="C37">
        <v>373612</v>
      </c>
      <c r="D37" s="7">
        <f t="shared" si="2"/>
        <v>2013</v>
      </c>
      <c r="E37" s="7" t="str">
        <f t="shared" si="0"/>
        <v>Q2</v>
      </c>
      <c r="F37" t="str">
        <f t="shared" si="1"/>
        <v>Pre-COVID</v>
      </c>
      <c r="O37">
        <v>759119</v>
      </c>
      <c r="P37" s="7">
        <v>2020</v>
      </c>
      <c r="Q37" s="7" t="s">
        <v>111</v>
      </c>
    </row>
    <row r="38" spans="1:17" x14ac:dyDescent="0.3">
      <c r="A38" t="s">
        <v>56</v>
      </c>
      <c r="B38" t="s">
        <v>45</v>
      </c>
      <c r="C38">
        <v>7719407</v>
      </c>
      <c r="D38" s="7">
        <f t="shared" si="2"/>
        <v>2013</v>
      </c>
      <c r="E38" s="7" t="str">
        <f t="shared" si="0"/>
        <v>Q3</v>
      </c>
      <c r="F38" t="str">
        <f t="shared" si="1"/>
        <v>Pre-COVID</v>
      </c>
      <c r="O38">
        <v>418969</v>
      </c>
      <c r="P38" s="7">
        <v>2021</v>
      </c>
      <c r="Q38" s="7" t="s">
        <v>107</v>
      </c>
    </row>
    <row r="39" spans="1:17" x14ac:dyDescent="0.3">
      <c r="A39" t="s">
        <v>56</v>
      </c>
      <c r="B39" t="s">
        <v>46</v>
      </c>
      <c r="C39">
        <v>713739</v>
      </c>
      <c r="D39" s="7">
        <f t="shared" si="2"/>
        <v>2013</v>
      </c>
      <c r="E39" s="7" t="str">
        <f t="shared" si="0"/>
        <v>Q3</v>
      </c>
      <c r="F39" t="str">
        <f t="shared" si="1"/>
        <v>Pre-COVID</v>
      </c>
      <c r="O39">
        <v>596349</v>
      </c>
      <c r="P39" s="7">
        <v>2021</v>
      </c>
      <c r="Q39" s="7" t="s">
        <v>109</v>
      </c>
    </row>
    <row r="40" spans="1:17" x14ac:dyDescent="0.3">
      <c r="A40" t="s">
        <v>56</v>
      </c>
      <c r="B40" t="s">
        <v>47</v>
      </c>
      <c r="C40">
        <v>6211891</v>
      </c>
      <c r="D40" s="7">
        <f t="shared" si="2"/>
        <v>2013</v>
      </c>
      <c r="E40" s="7" t="str">
        <f t="shared" si="0"/>
        <v>Q3</v>
      </c>
      <c r="F40" t="str">
        <f t="shared" si="1"/>
        <v>Pre-COVID</v>
      </c>
      <c r="O40">
        <v>3576508</v>
      </c>
      <c r="P40" s="7">
        <v>2021</v>
      </c>
      <c r="Q40" s="7" t="s">
        <v>110</v>
      </c>
    </row>
    <row r="41" spans="1:17" x14ac:dyDescent="0.3">
      <c r="A41" t="s">
        <v>56</v>
      </c>
      <c r="B41" t="s">
        <v>48</v>
      </c>
      <c r="C41">
        <v>100314</v>
      </c>
      <c r="D41" s="7">
        <f t="shared" si="2"/>
        <v>2013</v>
      </c>
      <c r="E41" s="7" t="str">
        <f t="shared" si="0"/>
        <v>Q3</v>
      </c>
      <c r="F41" t="str">
        <f t="shared" si="1"/>
        <v>Pre-COVID</v>
      </c>
      <c r="O41">
        <v>4541051</v>
      </c>
      <c r="P41" s="7">
        <v>2021</v>
      </c>
      <c r="Q41" s="7" t="s">
        <v>111</v>
      </c>
    </row>
    <row r="42" spans="1:17" x14ac:dyDescent="0.3">
      <c r="A42" t="s">
        <v>56</v>
      </c>
      <c r="B42" t="s">
        <v>49</v>
      </c>
      <c r="C42">
        <v>227388</v>
      </c>
      <c r="D42" s="7">
        <f t="shared" si="2"/>
        <v>2013</v>
      </c>
      <c r="E42" s="7" t="str">
        <f t="shared" si="0"/>
        <v>Q3</v>
      </c>
      <c r="F42" t="str">
        <f t="shared" si="1"/>
        <v>Pre-COVID</v>
      </c>
      <c r="O42">
        <v>4700322</v>
      </c>
      <c r="P42" s="7">
        <v>2022</v>
      </c>
      <c r="Q42" s="7" t="s">
        <v>107</v>
      </c>
    </row>
    <row r="43" spans="1:17" x14ac:dyDescent="0.3">
      <c r="A43" t="s">
        <v>56</v>
      </c>
      <c r="B43" t="s">
        <v>50</v>
      </c>
      <c r="C43">
        <v>466075</v>
      </c>
      <c r="D43" s="7">
        <f t="shared" si="2"/>
        <v>2013</v>
      </c>
      <c r="E43" s="7" t="str">
        <f t="shared" si="0"/>
        <v>Q3</v>
      </c>
      <c r="F43" t="str">
        <f t="shared" si="1"/>
        <v>Pre-COVID</v>
      </c>
      <c r="O43">
        <v>9134970</v>
      </c>
      <c r="P43" s="7">
        <v>2022</v>
      </c>
      <c r="Q43" s="7" t="s">
        <v>109</v>
      </c>
    </row>
    <row r="44" spans="1:17" x14ac:dyDescent="0.3">
      <c r="A44" t="s">
        <v>57</v>
      </c>
      <c r="B44" t="s">
        <v>45</v>
      </c>
      <c r="C44">
        <v>5538476</v>
      </c>
      <c r="D44" s="7">
        <f t="shared" si="2"/>
        <v>2013</v>
      </c>
      <c r="E44" s="7" t="str">
        <f t="shared" si="0"/>
        <v>Q4</v>
      </c>
      <c r="F44" t="str">
        <f t="shared" si="1"/>
        <v>Pre-COVID</v>
      </c>
      <c r="O44">
        <v>10444239</v>
      </c>
      <c r="P44" s="7">
        <v>2022</v>
      </c>
      <c r="Q44" s="7" t="s">
        <v>110</v>
      </c>
    </row>
    <row r="45" spans="1:17" x14ac:dyDescent="0.3">
      <c r="A45" t="s">
        <v>57</v>
      </c>
      <c r="B45" t="s">
        <v>46</v>
      </c>
      <c r="C45">
        <v>467655</v>
      </c>
      <c r="D45" s="7">
        <f t="shared" si="2"/>
        <v>2013</v>
      </c>
      <c r="E45" s="7" t="str">
        <f t="shared" si="0"/>
        <v>Q4</v>
      </c>
      <c r="F45" t="str">
        <f t="shared" si="1"/>
        <v>Pre-COVID</v>
      </c>
      <c r="O45">
        <v>8238809</v>
      </c>
      <c r="P45" s="7">
        <v>2022</v>
      </c>
      <c r="Q45" s="7" t="s">
        <v>111</v>
      </c>
    </row>
    <row r="46" spans="1:17" x14ac:dyDescent="0.3">
      <c r="A46" t="s">
        <v>57</v>
      </c>
      <c r="B46" t="s">
        <v>47</v>
      </c>
      <c r="C46">
        <v>4601658</v>
      </c>
      <c r="D46" s="7">
        <f t="shared" si="2"/>
        <v>2013</v>
      </c>
      <c r="E46" s="7" t="str">
        <f t="shared" si="0"/>
        <v>Q4</v>
      </c>
      <c r="F46" t="str">
        <f t="shared" si="1"/>
        <v>Pre-COVID</v>
      </c>
      <c r="O46">
        <v>7622484</v>
      </c>
      <c r="P46" s="7">
        <v>2023</v>
      </c>
      <c r="Q46" s="7" t="s">
        <v>107</v>
      </c>
    </row>
    <row r="47" spans="1:17" x14ac:dyDescent="0.3">
      <c r="A47" t="s">
        <v>57</v>
      </c>
      <c r="B47" t="s">
        <v>48</v>
      </c>
      <c r="C47">
        <v>66112</v>
      </c>
      <c r="D47" s="7">
        <f t="shared" si="2"/>
        <v>2013</v>
      </c>
      <c r="E47" s="7" t="str">
        <f t="shared" si="0"/>
        <v>Q4</v>
      </c>
      <c r="F47" t="str">
        <f t="shared" si="1"/>
        <v>Pre-COVID</v>
      </c>
      <c r="O47">
        <v>10744701</v>
      </c>
      <c r="P47" s="7">
        <v>2023</v>
      </c>
      <c r="Q47" s="7" t="s">
        <v>109</v>
      </c>
    </row>
    <row r="48" spans="1:17" x14ac:dyDescent="0.3">
      <c r="A48" t="s">
        <v>57</v>
      </c>
      <c r="B48" t="s">
        <v>49</v>
      </c>
      <c r="C48">
        <v>137889</v>
      </c>
      <c r="D48" s="7">
        <f t="shared" si="2"/>
        <v>2013</v>
      </c>
      <c r="E48" s="7" t="str">
        <f t="shared" si="0"/>
        <v>Q4</v>
      </c>
      <c r="F48" t="str">
        <f t="shared" si="1"/>
        <v>Pre-COVID</v>
      </c>
      <c r="O48">
        <v>11799615</v>
      </c>
      <c r="P48" s="7">
        <v>2023</v>
      </c>
      <c r="Q48" s="7" t="s">
        <v>110</v>
      </c>
    </row>
    <row r="49" spans="1:17" x14ac:dyDescent="0.3">
      <c r="A49" t="s">
        <v>57</v>
      </c>
      <c r="B49" t="s">
        <v>50</v>
      </c>
      <c r="C49">
        <v>265162</v>
      </c>
      <c r="D49" s="7">
        <f t="shared" si="2"/>
        <v>2013</v>
      </c>
      <c r="E49" s="7" t="str">
        <f t="shared" si="0"/>
        <v>Q4</v>
      </c>
      <c r="F49" t="str">
        <f t="shared" si="1"/>
        <v>Pre-COVID</v>
      </c>
      <c r="O49">
        <v>9019601</v>
      </c>
      <c r="P49" s="7">
        <v>2023</v>
      </c>
      <c r="Q49" s="7" t="s">
        <v>111</v>
      </c>
    </row>
    <row r="50" spans="1:17" x14ac:dyDescent="0.3">
      <c r="A50" t="s">
        <v>58</v>
      </c>
      <c r="B50" t="s">
        <v>45</v>
      </c>
      <c r="C50">
        <v>4804441</v>
      </c>
      <c r="D50" s="7">
        <f t="shared" si="2"/>
        <v>2014</v>
      </c>
      <c r="E50" s="7" t="str">
        <f t="shared" si="0"/>
        <v>Q1</v>
      </c>
      <c r="F50" t="str">
        <f t="shared" si="1"/>
        <v>Pre-COVID</v>
      </c>
      <c r="O50">
        <v>8227159</v>
      </c>
      <c r="P50" s="7">
        <v>2024</v>
      </c>
      <c r="Q50" s="7" t="s">
        <v>107</v>
      </c>
    </row>
    <row r="51" spans="1:17" x14ac:dyDescent="0.3">
      <c r="A51" t="s">
        <v>58</v>
      </c>
      <c r="B51" t="s">
        <v>46</v>
      </c>
      <c r="C51">
        <v>400785</v>
      </c>
      <c r="D51" s="7">
        <f t="shared" si="2"/>
        <v>2014</v>
      </c>
      <c r="E51" s="7" t="str">
        <f t="shared" si="0"/>
        <v>Q1</v>
      </c>
      <c r="F51" t="str">
        <f t="shared" si="1"/>
        <v>Pre-COVID</v>
      </c>
      <c r="O51">
        <v>11231664</v>
      </c>
      <c r="P51" s="7">
        <v>2024</v>
      </c>
      <c r="Q51" s="7" t="s">
        <v>109</v>
      </c>
    </row>
    <row r="52" spans="1:17" x14ac:dyDescent="0.3">
      <c r="A52" t="s">
        <v>58</v>
      </c>
      <c r="B52" t="s">
        <v>47</v>
      </c>
      <c r="C52">
        <v>4062698</v>
      </c>
      <c r="D52" s="7">
        <f t="shared" si="2"/>
        <v>2014</v>
      </c>
      <c r="E52" s="7" t="str">
        <f t="shared" si="0"/>
        <v>Q1</v>
      </c>
      <c r="F52" t="str">
        <f t="shared" si="1"/>
        <v>Pre-COVID</v>
      </c>
      <c r="O52">
        <v>12364310</v>
      </c>
      <c r="P52" s="7">
        <v>2024</v>
      </c>
      <c r="Q52" s="7" t="s">
        <v>110</v>
      </c>
    </row>
    <row r="53" spans="1:17" x14ac:dyDescent="0.3">
      <c r="A53" t="s">
        <v>58</v>
      </c>
      <c r="B53" t="s">
        <v>48</v>
      </c>
      <c r="C53">
        <v>45956</v>
      </c>
      <c r="D53" s="7">
        <f t="shared" si="2"/>
        <v>2014</v>
      </c>
      <c r="E53" s="7" t="str">
        <f t="shared" si="0"/>
        <v>Q1</v>
      </c>
      <c r="F53" t="str">
        <f t="shared" si="1"/>
        <v>Pre-COVID</v>
      </c>
      <c r="O53">
        <v>9164632</v>
      </c>
      <c r="P53" s="7">
        <v>2024</v>
      </c>
      <c r="Q53" s="7" t="s">
        <v>111</v>
      </c>
    </row>
    <row r="54" spans="1:17" x14ac:dyDescent="0.3">
      <c r="A54" t="s">
        <v>58</v>
      </c>
      <c r="B54" t="s">
        <v>49</v>
      </c>
      <c r="C54">
        <v>100116</v>
      </c>
      <c r="D54" s="7">
        <f t="shared" si="2"/>
        <v>2014</v>
      </c>
      <c r="E54" s="7" t="str">
        <f t="shared" si="0"/>
        <v>Q1</v>
      </c>
      <c r="F54" t="str">
        <f t="shared" si="1"/>
        <v>Pre-COVID</v>
      </c>
      <c r="O54">
        <v>8207430</v>
      </c>
      <c r="P54" s="7">
        <v>2025</v>
      </c>
      <c r="Q54" s="7" t="s">
        <v>107</v>
      </c>
    </row>
    <row r="55" spans="1:17" x14ac:dyDescent="0.3">
      <c r="A55" t="s">
        <v>58</v>
      </c>
      <c r="B55" t="s">
        <v>50</v>
      </c>
      <c r="C55">
        <v>194886</v>
      </c>
      <c r="D55" s="7">
        <f t="shared" si="2"/>
        <v>2014</v>
      </c>
      <c r="E55" s="7" t="str">
        <f t="shared" si="0"/>
        <v>Q1</v>
      </c>
      <c r="F55" t="str">
        <f t="shared" si="1"/>
        <v>Pre-COVID</v>
      </c>
      <c r="O55">
        <v>12042620</v>
      </c>
      <c r="P55" s="7">
        <v>2025</v>
      </c>
      <c r="Q55" s="7" t="s">
        <v>109</v>
      </c>
    </row>
    <row r="56" spans="1:17" x14ac:dyDescent="0.3">
      <c r="A56" t="s">
        <v>59</v>
      </c>
      <c r="B56" t="s">
        <v>45</v>
      </c>
      <c r="C56">
        <v>7278735</v>
      </c>
      <c r="D56" s="7">
        <f t="shared" si="2"/>
        <v>2014</v>
      </c>
      <c r="E56" s="7" t="str">
        <f t="shared" si="0"/>
        <v>Q2</v>
      </c>
      <c r="F56" t="str">
        <f t="shared" si="1"/>
        <v>Pre-COVID</v>
      </c>
    </row>
    <row r="57" spans="1:17" x14ac:dyDescent="0.3">
      <c r="A57" t="s">
        <v>59</v>
      </c>
      <c r="B57" t="s">
        <v>46</v>
      </c>
      <c r="C57">
        <v>610996</v>
      </c>
      <c r="D57" s="7">
        <f t="shared" si="2"/>
        <v>2014</v>
      </c>
      <c r="E57" s="7" t="str">
        <f t="shared" si="0"/>
        <v>Q2</v>
      </c>
      <c r="F57" t="str">
        <f t="shared" si="1"/>
        <v>Pre-COVID</v>
      </c>
    </row>
    <row r="58" spans="1:17" x14ac:dyDescent="0.3">
      <c r="A58" t="s">
        <v>59</v>
      </c>
      <c r="B58" t="s">
        <v>47</v>
      </c>
      <c r="C58">
        <v>5914826</v>
      </c>
      <c r="D58" s="7">
        <f t="shared" si="2"/>
        <v>2014</v>
      </c>
      <c r="E58" s="7" t="str">
        <f t="shared" si="0"/>
        <v>Q2</v>
      </c>
      <c r="F58" t="str">
        <f t="shared" si="1"/>
        <v>Pre-COVID</v>
      </c>
    </row>
    <row r="59" spans="1:17" x14ac:dyDescent="0.3">
      <c r="A59" t="s">
        <v>59</v>
      </c>
      <c r="B59" t="s">
        <v>48</v>
      </c>
      <c r="C59">
        <v>84394</v>
      </c>
      <c r="D59" s="7">
        <f t="shared" si="2"/>
        <v>2014</v>
      </c>
      <c r="E59" s="7" t="str">
        <f t="shared" si="0"/>
        <v>Q2</v>
      </c>
      <c r="F59" t="str">
        <f t="shared" si="1"/>
        <v>Pre-COVID</v>
      </c>
    </row>
    <row r="60" spans="1:17" x14ac:dyDescent="0.3">
      <c r="A60" t="s">
        <v>59</v>
      </c>
      <c r="B60" t="s">
        <v>49</v>
      </c>
      <c r="C60">
        <v>200333</v>
      </c>
      <c r="D60" s="7">
        <f t="shared" si="2"/>
        <v>2014</v>
      </c>
      <c r="E60" s="7" t="str">
        <f t="shared" si="0"/>
        <v>Q2</v>
      </c>
      <c r="F60" t="str">
        <f t="shared" si="1"/>
        <v>Pre-COVID</v>
      </c>
    </row>
    <row r="61" spans="1:17" x14ac:dyDescent="0.3">
      <c r="A61" t="s">
        <v>59</v>
      </c>
      <c r="B61" t="s">
        <v>50</v>
      </c>
      <c r="C61">
        <v>468186</v>
      </c>
      <c r="D61" s="7">
        <f t="shared" si="2"/>
        <v>2014</v>
      </c>
      <c r="E61" s="7" t="str">
        <f t="shared" si="0"/>
        <v>Q2</v>
      </c>
      <c r="F61" t="str">
        <f t="shared" si="1"/>
        <v>Pre-COVID</v>
      </c>
    </row>
    <row r="62" spans="1:17" x14ac:dyDescent="0.3">
      <c r="A62" t="s">
        <v>60</v>
      </c>
      <c r="B62" t="s">
        <v>45</v>
      </c>
      <c r="C62">
        <v>8219084</v>
      </c>
      <c r="D62" s="7">
        <f t="shared" si="2"/>
        <v>2014</v>
      </c>
      <c r="E62" s="7" t="str">
        <f t="shared" si="0"/>
        <v>Q3</v>
      </c>
      <c r="F62" t="str">
        <f t="shared" si="1"/>
        <v>Pre-COVID</v>
      </c>
    </row>
    <row r="63" spans="1:17" x14ac:dyDescent="0.3">
      <c r="A63" t="s">
        <v>60</v>
      </c>
      <c r="B63" t="s">
        <v>46</v>
      </c>
      <c r="C63">
        <v>685538</v>
      </c>
      <c r="D63" s="7">
        <f t="shared" si="2"/>
        <v>2014</v>
      </c>
      <c r="E63" s="7" t="str">
        <f t="shared" si="0"/>
        <v>Q3</v>
      </c>
      <c r="F63" t="str">
        <f t="shared" si="1"/>
        <v>Pre-COVID</v>
      </c>
    </row>
    <row r="64" spans="1:17" x14ac:dyDescent="0.3">
      <c r="A64" t="s">
        <v>60</v>
      </c>
      <c r="B64" t="s">
        <v>47</v>
      </c>
      <c r="C64">
        <v>6617238</v>
      </c>
      <c r="D64" s="7">
        <f t="shared" si="2"/>
        <v>2014</v>
      </c>
      <c r="E64" s="7" t="str">
        <f t="shared" si="0"/>
        <v>Q3</v>
      </c>
      <c r="F64" t="str">
        <f t="shared" si="1"/>
        <v>Pre-COVID</v>
      </c>
    </row>
    <row r="65" spans="1:6" x14ac:dyDescent="0.3">
      <c r="A65" t="s">
        <v>60</v>
      </c>
      <c r="B65" t="s">
        <v>48</v>
      </c>
      <c r="C65">
        <v>96963</v>
      </c>
      <c r="D65" s="7">
        <f t="shared" si="2"/>
        <v>2014</v>
      </c>
      <c r="E65" s="7" t="str">
        <f t="shared" si="0"/>
        <v>Q3</v>
      </c>
      <c r="F65" t="str">
        <f t="shared" si="1"/>
        <v>Pre-COVID</v>
      </c>
    </row>
    <row r="66" spans="1:6" x14ac:dyDescent="0.3">
      <c r="A66" t="s">
        <v>60</v>
      </c>
      <c r="B66" t="s">
        <v>49</v>
      </c>
      <c r="C66">
        <v>259416</v>
      </c>
      <c r="D66" s="7">
        <f t="shared" si="2"/>
        <v>2014</v>
      </c>
      <c r="E66" s="7" t="str">
        <f t="shared" ref="E66:E129" si="3">RIGHT(A66,2)</f>
        <v>Q3</v>
      </c>
      <c r="F66" t="str">
        <f t="shared" ref="F66:F129" si="4">IF(D66&lt;=2019,"Pre-COVID",IF(D66&lt;=2021,"COVID","Post-COVID"))</f>
        <v>Pre-COVID</v>
      </c>
    </row>
    <row r="67" spans="1:6" x14ac:dyDescent="0.3">
      <c r="A67" t="s">
        <v>60</v>
      </c>
      <c r="B67" t="s">
        <v>50</v>
      </c>
      <c r="C67">
        <v>559929</v>
      </c>
      <c r="D67" s="7">
        <f t="shared" ref="D67:D130" si="5">VALUE(LEFT(A67,4))</f>
        <v>2014</v>
      </c>
      <c r="E67" s="7" t="str">
        <f t="shared" si="3"/>
        <v>Q3</v>
      </c>
      <c r="F67" t="str">
        <f t="shared" si="4"/>
        <v>Pre-COVID</v>
      </c>
    </row>
    <row r="68" spans="1:6" x14ac:dyDescent="0.3">
      <c r="A68" t="s">
        <v>61</v>
      </c>
      <c r="B68" t="s">
        <v>45</v>
      </c>
      <c r="C68">
        <v>6084540</v>
      </c>
      <c r="D68" s="7">
        <f t="shared" si="5"/>
        <v>2014</v>
      </c>
      <c r="E68" s="7" t="str">
        <f t="shared" si="3"/>
        <v>Q4</v>
      </c>
      <c r="F68" t="str">
        <f t="shared" si="4"/>
        <v>Pre-COVID</v>
      </c>
    </row>
    <row r="69" spans="1:6" x14ac:dyDescent="0.3">
      <c r="A69" t="s">
        <v>61</v>
      </c>
      <c r="B69" t="s">
        <v>46</v>
      </c>
      <c r="C69">
        <v>440738</v>
      </c>
      <c r="D69" s="7">
        <f t="shared" si="5"/>
        <v>2014</v>
      </c>
      <c r="E69" s="7" t="str">
        <f t="shared" si="3"/>
        <v>Q4</v>
      </c>
      <c r="F69" t="str">
        <f t="shared" si="4"/>
        <v>Pre-COVID</v>
      </c>
    </row>
    <row r="70" spans="1:6" x14ac:dyDescent="0.3">
      <c r="A70" t="s">
        <v>61</v>
      </c>
      <c r="B70" t="s">
        <v>47</v>
      </c>
      <c r="C70">
        <v>5100131</v>
      </c>
      <c r="D70" s="7">
        <f t="shared" si="5"/>
        <v>2014</v>
      </c>
      <c r="E70" s="7" t="str">
        <f t="shared" si="3"/>
        <v>Q4</v>
      </c>
      <c r="F70" t="str">
        <f t="shared" si="4"/>
        <v>Pre-COVID</v>
      </c>
    </row>
    <row r="71" spans="1:6" x14ac:dyDescent="0.3">
      <c r="A71" t="s">
        <v>61</v>
      </c>
      <c r="B71" t="s">
        <v>48</v>
      </c>
      <c r="C71">
        <v>67642</v>
      </c>
      <c r="D71" s="7">
        <f t="shared" si="5"/>
        <v>2014</v>
      </c>
      <c r="E71" s="7" t="str">
        <f t="shared" si="3"/>
        <v>Q4</v>
      </c>
      <c r="F71" t="str">
        <f t="shared" si="4"/>
        <v>Pre-COVID</v>
      </c>
    </row>
    <row r="72" spans="1:6" x14ac:dyDescent="0.3">
      <c r="A72" t="s">
        <v>61</v>
      </c>
      <c r="B72" t="s">
        <v>49</v>
      </c>
      <c r="C72">
        <v>143805</v>
      </c>
      <c r="D72" s="7">
        <f t="shared" si="5"/>
        <v>2014</v>
      </c>
      <c r="E72" s="7" t="str">
        <f t="shared" si="3"/>
        <v>Q4</v>
      </c>
      <c r="F72" t="str">
        <f t="shared" si="4"/>
        <v>Pre-COVID</v>
      </c>
    </row>
    <row r="73" spans="1:6" x14ac:dyDescent="0.3">
      <c r="A73" t="s">
        <v>61</v>
      </c>
      <c r="B73" t="s">
        <v>50</v>
      </c>
      <c r="C73">
        <v>332224</v>
      </c>
      <c r="D73" s="7">
        <f t="shared" si="5"/>
        <v>2014</v>
      </c>
      <c r="E73" s="7" t="str">
        <f t="shared" si="3"/>
        <v>Q4</v>
      </c>
      <c r="F73" t="str">
        <f t="shared" si="4"/>
        <v>Pre-COVID</v>
      </c>
    </row>
    <row r="74" spans="1:6" x14ac:dyDescent="0.3">
      <c r="A74" t="s">
        <v>62</v>
      </c>
      <c r="B74" t="s">
        <v>45</v>
      </c>
      <c r="C74">
        <v>5541321</v>
      </c>
      <c r="D74" s="7">
        <f t="shared" si="5"/>
        <v>2015</v>
      </c>
      <c r="E74" s="7" t="str">
        <f t="shared" si="3"/>
        <v>Q1</v>
      </c>
      <c r="F74" t="str">
        <f t="shared" si="4"/>
        <v>Pre-COVID</v>
      </c>
    </row>
    <row r="75" spans="1:6" x14ac:dyDescent="0.3">
      <c r="A75" t="s">
        <v>62</v>
      </c>
      <c r="B75" t="s">
        <v>46</v>
      </c>
      <c r="C75">
        <v>379553</v>
      </c>
      <c r="D75" s="7">
        <f t="shared" si="5"/>
        <v>2015</v>
      </c>
      <c r="E75" s="7" t="str">
        <f t="shared" si="3"/>
        <v>Q1</v>
      </c>
      <c r="F75" t="str">
        <f t="shared" si="4"/>
        <v>Pre-COVID</v>
      </c>
    </row>
    <row r="76" spans="1:6" x14ac:dyDescent="0.3">
      <c r="A76" t="s">
        <v>62</v>
      </c>
      <c r="B76" t="s">
        <v>47</v>
      </c>
      <c r="C76">
        <v>4740924</v>
      </c>
      <c r="D76" s="7">
        <f t="shared" si="5"/>
        <v>2015</v>
      </c>
      <c r="E76" s="7" t="str">
        <f t="shared" si="3"/>
        <v>Q1</v>
      </c>
      <c r="F76" t="str">
        <f t="shared" si="4"/>
        <v>Pre-COVID</v>
      </c>
    </row>
    <row r="77" spans="1:6" x14ac:dyDescent="0.3">
      <c r="A77" t="s">
        <v>62</v>
      </c>
      <c r="B77" t="s">
        <v>48</v>
      </c>
      <c r="C77">
        <v>46806</v>
      </c>
      <c r="D77" s="7">
        <f t="shared" si="5"/>
        <v>2015</v>
      </c>
      <c r="E77" s="7" t="str">
        <f t="shared" si="3"/>
        <v>Q1</v>
      </c>
      <c r="F77" t="str">
        <f t="shared" si="4"/>
        <v>Pre-COVID</v>
      </c>
    </row>
    <row r="78" spans="1:6" x14ac:dyDescent="0.3">
      <c r="A78" t="s">
        <v>62</v>
      </c>
      <c r="B78" t="s">
        <v>49</v>
      </c>
      <c r="C78">
        <v>113413</v>
      </c>
      <c r="D78" s="7">
        <f t="shared" si="5"/>
        <v>2015</v>
      </c>
      <c r="E78" s="7" t="str">
        <f t="shared" si="3"/>
        <v>Q1</v>
      </c>
      <c r="F78" t="str">
        <f t="shared" si="4"/>
        <v>Pre-COVID</v>
      </c>
    </row>
    <row r="79" spans="1:6" x14ac:dyDescent="0.3">
      <c r="A79" t="s">
        <v>62</v>
      </c>
      <c r="B79" t="s">
        <v>50</v>
      </c>
      <c r="C79">
        <v>260625</v>
      </c>
      <c r="D79" s="7">
        <f t="shared" si="5"/>
        <v>2015</v>
      </c>
      <c r="E79" s="7" t="str">
        <f t="shared" si="3"/>
        <v>Q1</v>
      </c>
      <c r="F79" t="str">
        <f t="shared" si="4"/>
        <v>Pre-COVID</v>
      </c>
    </row>
    <row r="80" spans="1:6" x14ac:dyDescent="0.3">
      <c r="A80" t="s">
        <v>63</v>
      </c>
      <c r="B80" t="s">
        <v>45</v>
      </c>
      <c r="C80">
        <v>8072483</v>
      </c>
      <c r="D80" s="7">
        <f t="shared" si="5"/>
        <v>2015</v>
      </c>
      <c r="E80" s="7" t="str">
        <f t="shared" si="3"/>
        <v>Q2</v>
      </c>
      <c r="F80" t="str">
        <f t="shared" si="4"/>
        <v>Pre-COVID</v>
      </c>
    </row>
    <row r="81" spans="1:6" x14ac:dyDescent="0.3">
      <c r="A81" t="s">
        <v>63</v>
      </c>
      <c r="B81" t="s">
        <v>46</v>
      </c>
      <c r="C81">
        <v>580130</v>
      </c>
      <c r="D81" s="7">
        <f t="shared" si="5"/>
        <v>2015</v>
      </c>
      <c r="E81" s="7" t="str">
        <f t="shared" si="3"/>
        <v>Q2</v>
      </c>
      <c r="F81" t="str">
        <f t="shared" si="4"/>
        <v>Pre-COVID</v>
      </c>
    </row>
    <row r="82" spans="1:6" x14ac:dyDescent="0.3">
      <c r="A82" t="s">
        <v>63</v>
      </c>
      <c r="B82" t="s">
        <v>47</v>
      </c>
      <c r="C82">
        <v>6733056</v>
      </c>
      <c r="D82" s="7">
        <f t="shared" si="5"/>
        <v>2015</v>
      </c>
      <c r="E82" s="7" t="str">
        <f t="shared" si="3"/>
        <v>Q2</v>
      </c>
      <c r="F82" t="str">
        <f t="shared" si="4"/>
        <v>Pre-COVID</v>
      </c>
    </row>
    <row r="83" spans="1:6" x14ac:dyDescent="0.3">
      <c r="A83" t="s">
        <v>63</v>
      </c>
      <c r="B83" t="s">
        <v>48</v>
      </c>
      <c r="C83">
        <v>88309</v>
      </c>
      <c r="D83" s="7">
        <f t="shared" si="5"/>
        <v>2015</v>
      </c>
      <c r="E83" s="7" t="str">
        <f t="shared" si="3"/>
        <v>Q2</v>
      </c>
      <c r="F83" t="str">
        <f t="shared" si="4"/>
        <v>Pre-COVID</v>
      </c>
    </row>
    <row r="84" spans="1:6" x14ac:dyDescent="0.3">
      <c r="A84" t="s">
        <v>63</v>
      </c>
      <c r="B84" t="s">
        <v>49</v>
      </c>
      <c r="C84">
        <v>200042</v>
      </c>
      <c r="D84" s="7">
        <f t="shared" si="5"/>
        <v>2015</v>
      </c>
      <c r="E84" s="7" t="str">
        <f t="shared" si="3"/>
        <v>Q2</v>
      </c>
      <c r="F84" t="str">
        <f t="shared" si="4"/>
        <v>Pre-COVID</v>
      </c>
    </row>
    <row r="85" spans="1:6" x14ac:dyDescent="0.3">
      <c r="A85" t="s">
        <v>63</v>
      </c>
      <c r="B85" t="s">
        <v>50</v>
      </c>
      <c r="C85">
        <v>470946</v>
      </c>
      <c r="D85" s="7">
        <f t="shared" si="5"/>
        <v>2015</v>
      </c>
      <c r="E85" s="7" t="str">
        <f t="shared" si="3"/>
        <v>Q2</v>
      </c>
      <c r="F85" t="str">
        <f t="shared" si="4"/>
        <v>Pre-COVID</v>
      </c>
    </row>
    <row r="86" spans="1:6" x14ac:dyDescent="0.3">
      <c r="A86" t="s">
        <v>64</v>
      </c>
      <c r="B86" t="s">
        <v>45</v>
      </c>
      <c r="C86">
        <v>9166638</v>
      </c>
      <c r="D86" s="7">
        <f t="shared" si="5"/>
        <v>2015</v>
      </c>
      <c r="E86" s="7" t="str">
        <f t="shared" si="3"/>
        <v>Q3</v>
      </c>
      <c r="F86" t="str">
        <f t="shared" si="4"/>
        <v>Pre-COVID</v>
      </c>
    </row>
    <row r="87" spans="1:6" x14ac:dyDescent="0.3">
      <c r="A87" t="s">
        <v>64</v>
      </c>
      <c r="B87" t="s">
        <v>46</v>
      </c>
      <c r="C87">
        <v>653801</v>
      </c>
      <c r="D87" s="7">
        <f t="shared" si="5"/>
        <v>2015</v>
      </c>
      <c r="E87" s="7" t="str">
        <f t="shared" si="3"/>
        <v>Q3</v>
      </c>
      <c r="F87" t="str">
        <f t="shared" si="4"/>
        <v>Pre-COVID</v>
      </c>
    </row>
    <row r="88" spans="1:6" x14ac:dyDescent="0.3">
      <c r="A88" t="s">
        <v>64</v>
      </c>
      <c r="B88" t="s">
        <v>47</v>
      </c>
      <c r="C88">
        <v>7621339</v>
      </c>
      <c r="D88" s="7">
        <f t="shared" si="5"/>
        <v>2015</v>
      </c>
      <c r="E88" s="7" t="str">
        <f t="shared" si="3"/>
        <v>Q3</v>
      </c>
      <c r="F88" t="str">
        <f t="shared" si="4"/>
        <v>Pre-COVID</v>
      </c>
    </row>
    <row r="89" spans="1:6" x14ac:dyDescent="0.3">
      <c r="A89" t="s">
        <v>64</v>
      </c>
      <c r="B89" t="s">
        <v>48</v>
      </c>
      <c r="C89">
        <v>99683</v>
      </c>
      <c r="D89" s="7">
        <f t="shared" si="5"/>
        <v>2015</v>
      </c>
      <c r="E89" s="7" t="str">
        <f t="shared" si="3"/>
        <v>Q3</v>
      </c>
      <c r="F89" t="str">
        <f t="shared" si="4"/>
        <v>Pre-COVID</v>
      </c>
    </row>
    <row r="90" spans="1:6" x14ac:dyDescent="0.3">
      <c r="A90" t="s">
        <v>64</v>
      </c>
      <c r="B90" t="s">
        <v>49</v>
      </c>
      <c r="C90">
        <v>226306</v>
      </c>
      <c r="D90" s="7">
        <f t="shared" si="5"/>
        <v>2015</v>
      </c>
      <c r="E90" s="7" t="str">
        <f t="shared" si="3"/>
        <v>Q3</v>
      </c>
      <c r="F90" t="str">
        <f t="shared" si="4"/>
        <v>Pre-COVID</v>
      </c>
    </row>
    <row r="91" spans="1:6" x14ac:dyDescent="0.3">
      <c r="A91" t="s">
        <v>64</v>
      </c>
      <c r="B91" t="s">
        <v>50</v>
      </c>
      <c r="C91">
        <v>565509</v>
      </c>
      <c r="D91" s="7">
        <f t="shared" si="5"/>
        <v>2015</v>
      </c>
      <c r="E91" s="7" t="str">
        <f t="shared" si="3"/>
        <v>Q3</v>
      </c>
      <c r="F91" t="str">
        <f t="shared" si="4"/>
        <v>Pre-COVID</v>
      </c>
    </row>
    <row r="92" spans="1:6" x14ac:dyDescent="0.3">
      <c r="A92" t="s">
        <v>65</v>
      </c>
      <c r="B92" t="s">
        <v>45</v>
      </c>
      <c r="C92">
        <v>6878352</v>
      </c>
      <c r="D92" s="7">
        <f t="shared" si="5"/>
        <v>2015</v>
      </c>
      <c r="E92" s="7" t="str">
        <f t="shared" si="3"/>
        <v>Q4</v>
      </c>
      <c r="F92" t="str">
        <f t="shared" si="4"/>
        <v>Pre-COVID</v>
      </c>
    </row>
    <row r="93" spans="1:6" x14ac:dyDescent="0.3">
      <c r="A93" t="s">
        <v>65</v>
      </c>
      <c r="B93" t="s">
        <v>46</v>
      </c>
      <c r="C93">
        <v>452194</v>
      </c>
      <c r="D93" s="7">
        <f t="shared" si="5"/>
        <v>2015</v>
      </c>
      <c r="E93" s="7" t="str">
        <f t="shared" si="3"/>
        <v>Q4</v>
      </c>
      <c r="F93" t="str">
        <f t="shared" si="4"/>
        <v>Pre-COVID</v>
      </c>
    </row>
    <row r="94" spans="1:6" x14ac:dyDescent="0.3">
      <c r="A94" t="s">
        <v>65</v>
      </c>
      <c r="B94" t="s">
        <v>47</v>
      </c>
      <c r="C94">
        <v>5867199</v>
      </c>
      <c r="D94" s="7">
        <f t="shared" si="5"/>
        <v>2015</v>
      </c>
      <c r="E94" s="7" t="str">
        <f t="shared" si="3"/>
        <v>Q4</v>
      </c>
      <c r="F94" t="str">
        <f t="shared" si="4"/>
        <v>Pre-COVID</v>
      </c>
    </row>
    <row r="95" spans="1:6" x14ac:dyDescent="0.3">
      <c r="A95" t="s">
        <v>65</v>
      </c>
      <c r="B95" t="s">
        <v>48</v>
      </c>
      <c r="C95">
        <v>68241</v>
      </c>
      <c r="D95" s="7">
        <f t="shared" si="5"/>
        <v>2015</v>
      </c>
      <c r="E95" s="7" t="str">
        <f t="shared" si="3"/>
        <v>Q4</v>
      </c>
      <c r="F95" t="str">
        <f t="shared" si="4"/>
        <v>Pre-COVID</v>
      </c>
    </row>
    <row r="96" spans="1:6" x14ac:dyDescent="0.3">
      <c r="A96" t="s">
        <v>65</v>
      </c>
      <c r="B96" t="s">
        <v>49</v>
      </c>
      <c r="C96">
        <v>144910</v>
      </c>
      <c r="D96" s="7">
        <f t="shared" si="5"/>
        <v>2015</v>
      </c>
      <c r="E96" s="7" t="str">
        <f t="shared" si="3"/>
        <v>Q4</v>
      </c>
      <c r="F96" t="str">
        <f t="shared" si="4"/>
        <v>Pre-COVID</v>
      </c>
    </row>
    <row r="97" spans="1:6" x14ac:dyDescent="0.3">
      <c r="A97" t="s">
        <v>65</v>
      </c>
      <c r="B97" t="s">
        <v>50</v>
      </c>
      <c r="C97">
        <v>345808</v>
      </c>
      <c r="D97" s="7">
        <f t="shared" si="5"/>
        <v>2015</v>
      </c>
      <c r="E97" s="7" t="str">
        <f t="shared" si="3"/>
        <v>Q4</v>
      </c>
      <c r="F97" t="str">
        <f t="shared" si="4"/>
        <v>Pre-COVID</v>
      </c>
    </row>
    <row r="98" spans="1:6" x14ac:dyDescent="0.3">
      <c r="A98" t="s">
        <v>66</v>
      </c>
      <c r="B98" t="s">
        <v>45</v>
      </c>
      <c r="C98">
        <v>6419047</v>
      </c>
      <c r="D98" s="7">
        <f t="shared" si="5"/>
        <v>2016</v>
      </c>
      <c r="E98" s="7" t="str">
        <f t="shared" si="3"/>
        <v>Q1</v>
      </c>
      <c r="F98" t="str">
        <f t="shared" si="4"/>
        <v>Pre-COVID</v>
      </c>
    </row>
    <row r="99" spans="1:6" x14ac:dyDescent="0.3">
      <c r="A99" t="s">
        <v>66</v>
      </c>
      <c r="B99" t="s">
        <v>46</v>
      </c>
      <c r="C99">
        <v>419334</v>
      </c>
      <c r="D99" s="7">
        <f t="shared" si="5"/>
        <v>2016</v>
      </c>
      <c r="E99" s="7" t="str">
        <f t="shared" si="3"/>
        <v>Q1</v>
      </c>
      <c r="F99" t="str">
        <f t="shared" si="4"/>
        <v>Pre-COVID</v>
      </c>
    </row>
    <row r="100" spans="1:6" x14ac:dyDescent="0.3">
      <c r="A100" t="s">
        <v>66</v>
      </c>
      <c r="B100" t="s">
        <v>47</v>
      </c>
      <c r="C100">
        <v>5534979</v>
      </c>
      <c r="D100" s="7">
        <f t="shared" si="5"/>
        <v>2016</v>
      </c>
      <c r="E100" s="7" t="str">
        <f t="shared" si="3"/>
        <v>Q1</v>
      </c>
      <c r="F100" t="str">
        <f t="shared" si="4"/>
        <v>Pre-COVID</v>
      </c>
    </row>
    <row r="101" spans="1:6" x14ac:dyDescent="0.3">
      <c r="A101" t="s">
        <v>66</v>
      </c>
      <c r="B101" t="s">
        <v>48</v>
      </c>
      <c r="C101">
        <v>58771</v>
      </c>
      <c r="D101" s="7">
        <f t="shared" si="5"/>
        <v>2016</v>
      </c>
      <c r="E101" s="7" t="str">
        <f t="shared" si="3"/>
        <v>Q1</v>
      </c>
      <c r="F101" t="str">
        <f t="shared" si="4"/>
        <v>Pre-COVID</v>
      </c>
    </row>
    <row r="102" spans="1:6" x14ac:dyDescent="0.3">
      <c r="A102" t="s">
        <v>66</v>
      </c>
      <c r="B102" t="s">
        <v>49</v>
      </c>
      <c r="C102">
        <v>123034</v>
      </c>
      <c r="D102" s="7">
        <f t="shared" si="5"/>
        <v>2016</v>
      </c>
      <c r="E102" s="7" t="str">
        <f t="shared" si="3"/>
        <v>Q1</v>
      </c>
      <c r="F102" t="str">
        <f t="shared" si="4"/>
        <v>Pre-COVID</v>
      </c>
    </row>
    <row r="103" spans="1:6" x14ac:dyDescent="0.3">
      <c r="A103" t="s">
        <v>66</v>
      </c>
      <c r="B103" t="s">
        <v>50</v>
      </c>
      <c r="C103">
        <v>282929</v>
      </c>
      <c r="D103" s="7">
        <f t="shared" si="5"/>
        <v>2016</v>
      </c>
      <c r="E103" s="7" t="str">
        <f t="shared" si="3"/>
        <v>Q1</v>
      </c>
      <c r="F103" t="str">
        <f t="shared" si="4"/>
        <v>Pre-COVID</v>
      </c>
    </row>
    <row r="104" spans="1:6" x14ac:dyDescent="0.3">
      <c r="A104" t="s">
        <v>67</v>
      </c>
      <c r="B104" t="s">
        <v>45</v>
      </c>
      <c r="C104">
        <v>8814289</v>
      </c>
      <c r="D104" s="7">
        <f t="shared" si="5"/>
        <v>2016</v>
      </c>
      <c r="E104" s="7" t="str">
        <f t="shared" si="3"/>
        <v>Q2</v>
      </c>
      <c r="F104" t="str">
        <f t="shared" si="4"/>
        <v>Pre-COVID</v>
      </c>
    </row>
    <row r="105" spans="1:6" x14ac:dyDescent="0.3">
      <c r="A105" t="s">
        <v>67</v>
      </c>
      <c r="B105" t="s">
        <v>46</v>
      </c>
      <c r="C105">
        <v>625599</v>
      </c>
      <c r="D105" s="7">
        <f t="shared" si="5"/>
        <v>2016</v>
      </c>
      <c r="E105" s="7" t="str">
        <f t="shared" si="3"/>
        <v>Q2</v>
      </c>
      <c r="F105" t="str">
        <f t="shared" si="4"/>
        <v>Pre-COVID</v>
      </c>
    </row>
    <row r="106" spans="1:6" x14ac:dyDescent="0.3">
      <c r="A106" t="s">
        <v>67</v>
      </c>
      <c r="B106" t="s">
        <v>47</v>
      </c>
      <c r="C106">
        <v>7415559</v>
      </c>
      <c r="D106" s="7">
        <f t="shared" si="5"/>
        <v>2016</v>
      </c>
      <c r="E106" s="7" t="str">
        <f t="shared" si="3"/>
        <v>Q2</v>
      </c>
      <c r="F106" t="str">
        <f t="shared" si="4"/>
        <v>Pre-COVID</v>
      </c>
    </row>
    <row r="107" spans="1:6" x14ac:dyDescent="0.3">
      <c r="A107" t="s">
        <v>67</v>
      </c>
      <c r="B107" t="s">
        <v>48</v>
      </c>
      <c r="C107">
        <v>91072</v>
      </c>
      <c r="D107" s="7">
        <f t="shared" si="5"/>
        <v>2016</v>
      </c>
      <c r="E107" s="7" t="str">
        <f t="shared" si="3"/>
        <v>Q2</v>
      </c>
      <c r="F107" t="str">
        <f t="shared" si="4"/>
        <v>Pre-COVID</v>
      </c>
    </row>
    <row r="108" spans="1:6" x14ac:dyDescent="0.3">
      <c r="A108" t="s">
        <v>67</v>
      </c>
      <c r="B108" t="s">
        <v>49</v>
      </c>
      <c r="C108">
        <v>200402</v>
      </c>
      <c r="D108" s="7">
        <f t="shared" si="5"/>
        <v>2016</v>
      </c>
      <c r="E108" s="7" t="str">
        <f t="shared" si="3"/>
        <v>Q2</v>
      </c>
      <c r="F108" t="str">
        <f t="shared" si="4"/>
        <v>Pre-COVID</v>
      </c>
    </row>
    <row r="109" spans="1:6" x14ac:dyDescent="0.3">
      <c r="A109" t="s">
        <v>67</v>
      </c>
      <c r="B109" t="s">
        <v>50</v>
      </c>
      <c r="C109">
        <v>481657</v>
      </c>
      <c r="D109" s="7">
        <f t="shared" si="5"/>
        <v>2016</v>
      </c>
      <c r="E109" s="7" t="str">
        <f t="shared" si="3"/>
        <v>Q2</v>
      </c>
      <c r="F109" t="str">
        <f t="shared" si="4"/>
        <v>Pre-COVID</v>
      </c>
    </row>
    <row r="110" spans="1:6" x14ac:dyDescent="0.3">
      <c r="A110" t="s">
        <v>68</v>
      </c>
      <c r="B110" t="s">
        <v>45</v>
      </c>
      <c r="C110">
        <v>9989845</v>
      </c>
      <c r="D110" s="7">
        <f t="shared" si="5"/>
        <v>2016</v>
      </c>
      <c r="E110" s="7" t="str">
        <f t="shared" si="3"/>
        <v>Q3</v>
      </c>
      <c r="F110" t="str">
        <f t="shared" si="4"/>
        <v>Pre-COVID</v>
      </c>
    </row>
    <row r="111" spans="1:6" x14ac:dyDescent="0.3">
      <c r="A111" t="s">
        <v>68</v>
      </c>
      <c r="B111" t="s">
        <v>46</v>
      </c>
      <c r="C111">
        <v>706690</v>
      </c>
      <c r="D111" s="7">
        <f t="shared" si="5"/>
        <v>2016</v>
      </c>
      <c r="E111" s="7" t="str">
        <f t="shared" si="3"/>
        <v>Q3</v>
      </c>
      <c r="F111" t="str">
        <f t="shared" si="4"/>
        <v>Pre-COVID</v>
      </c>
    </row>
    <row r="112" spans="1:6" x14ac:dyDescent="0.3">
      <c r="A112" t="s">
        <v>68</v>
      </c>
      <c r="B112" t="s">
        <v>47</v>
      </c>
      <c r="C112">
        <v>8361602</v>
      </c>
      <c r="D112" s="7">
        <f t="shared" si="5"/>
        <v>2016</v>
      </c>
      <c r="E112" s="7" t="str">
        <f t="shared" si="3"/>
        <v>Q3</v>
      </c>
      <c r="F112" t="str">
        <f t="shared" si="4"/>
        <v>Pre-COVID</v>
      </c>
    </row>
    <row r="113" spans="1:6" x14ac:dyDescent="0.3">
      <c r="A113" t="s">
        <v>68</v>
      </c>
      <c r="B113" t="s">
        <v>48</v>
      </c>
      <c r="C113">
        <v>104956</v>
      </c>
      <c r="D113" s="7">
        <f t="shared" si="5"/>
        <v>2016</v>
      </c>
      <c r="E113" s="7" t="str">
        <f t="shared" si="3"/>
        <v>Q3</v>
      </c>
      <c r="F113" t="str">
        <f t="shared" si="4"/>
        <v>Pre-COVID</v>
      </c>
    </row>
    <row r="114" spans="1:6" x14ac:dyDescent="0.3">
      <c r="A114" t="s">
        <v>68</v>
      </c>
      <c r="B114" t="s">
        <v>49</v>
      </c>
      <c r="C114">
        <v>253870</v>
      </c>
      <c r="D114" s="7">
        <f t="shared" si="5"/>
        <v>2016</v>
      </c>
      <c r="E114" s="7" t="str">
        <f t="shared" si="3"/>
        <v>Q3</v>
      </c>
      <c r="F114" t="str">
        <f t="shared" si="4"/>
        <v>Pre-COVID</v>
      </c>
    </row>
    <row r="115" spans="1:6" x14ac:dyDescent="0.3">
      <c r="A115" t="s">
        <v>68</v>
      </c>
      <c r="B115" t="s">
        <v>50</v>
      </c>
      <c r="C115">
        <v>562727</v>
      </c>
      <c r="D115" s="7">
        <f t="shared" si="5"/>
        <v>2016</v>
      </c>
      <c r="E115" s="7" t="str">
        <f t="shared" si="3"/>
        <v>Q3</v>
      </c>
      <c r="F115" t="str">
        <f t="shared" si="4"/>
        <v>Pre-COVID</v>
      </c>
    </row>
    <row r="116" spans="1:6" x14ac:dyDescent="0.3">
      <c r="A116" t="s">
        <v>69</v>
      </c>
      <c r="B116" t="s">
        <v>45</v>
      </c>
      <c r="C116">
        <v>7518046</v>
      </c>
      <c r="D116" s="7">
        <f t="shared" si="5"/>
        <v>2016</v>
      </c>
      <c r="E116" s="7" t="str">
        <f t="shared" si="3"/>
        <v>Q4</v>
      </c>
      <c r="F116" t="str">
        <f t="shared" si="4"/>
        <v>Pre-COVID</v>
      </c>
    </row>
    <row r="117" spans="1:6" x14ac:dyDescent="0.3">
      <c r="A117" t="s">
        <v>69</v>
      </c>
      <c r="B117" t="s">
        <v>46</v>
      </c>
      <c r="C117">
        <v>474610</v>
      </c>
      <c r="D117" s="7">
        <f t="shared" si="5"/>
        <v>2016</v>
      </c>
      <c r="E117" s="7" t="str">
        <f t="shared" si="3"/>
        <v>Q4</v>
      </c>
      <c r="F117" t="str">
        <f t="shared" si="4"/>
        <v>Pre-COVID</v>
      </c>
    </row>
    <row r="118" spans="1:6" x14ac:dyDescent="0.3">
      <c r="A118" t="s">
        <v>69</v>
      </c>
      <c r="B118" t="s">
        <v>47</v>
      </c>
      <c r="C118">
        <v>6466748</v>
      </c>
      <c r="D118" s="7">
        <f t="shared" si="5"/>
        <v>2016</v>
      </c>
      <c r="E118" s="7" t="str">
        <f t="shared" si="3"/>
        <v>Q4</v>
      </c>
      <c r="F118" t="str">
        <f t="shared" si="4"/>
        <v>Pre-COVID</v>
      </c>
    </row>
    <row r="119" spans="1:6" x14ac:dyDescent="0.3">
      <c r="A119" t="s">
        <v>69</v>
      </c>
      <c r="B119" t="s">
        <v>48</v>
      </c>
      <c r="C119">
        <v>70871</v>
      </c>
      <c r="D119" s="7">
        <f t="shared" si="5"/>
        <v>2016</v>
      </c>
      <c r="E119" s="7" t="str">
        <f t="shared" si="3"/>
        <v>Q4</v>
      </c>
      <c r="F119" t="str">
        <f t="shared" si="4"/>
        <v>Pre-COVID</v>
      </c>
    </row>
    <row r="120" spans="1:6" x14ac:dyDescent="0.3">
      <c r="A120" t="s">
        <v>69</v>
      </c>
      <c r="B120" t="s">
        <v>49</v>
      </c>
      <c r="C120">
        <v>158563</v>
      </c>
      <c r="D120" s="7">
        <f t="shared" si="5"/>
        <v>2016</v>
      </c>
      <c r="E120" s="7" t="str">
        <f t="shared" si="3"/>
        <v>Q4</v>
      </c>
      <c r="F120" t="str">
        <f t="shared" si="4"/>
        <v>Pre-COVID</v>
      </c>
    </row>
    <row r="121" spans="1:6" x14ac:dyDescent="0.3">
      <c r="A121" t="s">
        <v>69</v>
      </c>
      <c r="B121" t="s">
        <v>50</v>
      </c>
      <c r="C121">
        <v>347254</v>
      </c>
      <c r="D121" s="7">
        <f t="shared" si="5"/>
        <v>2016</v>
      </c>
      <c r="E121" s="7" t="str">
        <f t="shared" si="3"/>
        <v>Q4</v>
      </c>
      <c r="F121" t="str">
        <f t="shared" si="4"/>
        <v>Pre-COVID</v>
      </c>
    </row>
    <row r="122" spans="1:6" x14ac:dyDescent="0.3">
      <c r="A122" t="s">
        <v>70</v>
      </c>
      <c r="B122" t="s">
        <v>45</v>
      </c>
      <c r="C122">
        <v>6678744</v>
      </c>
      <c r="D122" s="7">
        <f t="shared" si="5"/>
        <v>2017</v>
      </c>
      <c r="E122" s="7" t="str">
        <f t="shared" si="3"/>
        <v>Q1</v>
      </c>
      <c r="F122" t="str">
        <f t="shared" si="4"/>
        <v>Pre-COVID</v>
      </c>
    </row>
    <row r="123" spans="1:6" x14ac:dyDescent="0.3">
      <c r="A123" t="s">
        <v>70</v>
      </c>
      <c r="B123" t="s">
        <v>46</v>
      </c>
      <c r="C123">
        <v>418458</v>
      </c>
      <c r="D123" s="7">
        <f t="shared" si="5"/>
        <v>2017</v>
      </c>
      <c r="E123" s="7" t="str">
        <f t="shared" si="3"/>
        <v>Q1</v>
      </c>
      <c r="F123" t="str">
        <f t="shared" si="4"/>
        <v>Pre-COVID</v>
      </c>
    </row>
    <row r="124" spans="1:6" x14ac:dyDescent="0.3">
      <c r="A124" t="s">
        <v>70</v>
      </c>
      <c r="B124" t="s">
        <v>47</v>
      </c>
      <c r="C124">
        <v>5795278</v>
      </c>
      <c r="D124" s="7">
        <f t="shared" si="5"/>
        <v>2017</v>
      </c>
      <c r="E124" s="7" t="str">
        <f t="shared" si="3"/>
        <v>Q1</v>
      </c>
      <c r="F124" t="str">
        <f t="shared" si="4"/>
        <v>Pre-COVID</v>
      </c>
    </row>
    <row r="125" spans="1:6" x14ac:dyDescent="0.3">
      <c r="A125" t="s">
        <v>70</v>
      </c>
      <c r="B125" t="s">
        <v>48</v>
      </c>
      <c r="C125">
        <v>59034</v>
      </c>
      <c r="D125" s="7">
        <f t="shared" si="5"/>
        <v>2017</v>
      </c>
      <c r="E125" s="7" t="str">
        <f t="shared" si="3"/>
        <v>Q1</v>
      </c>
      <c r="F125" t="str">
        <f t="shared" si="4"/>
        <v>Pre-COVID</v>
      </c>
    </row>
    <row r="126" spans="1:6" x14ac:dyDescent="0.3">
      <c r="A126" t="s">
        <v>70</v>
      </c>
      <c r="B126" t="s">
        <v>49</v>
      </c>
      <c r="C126">
        <v>134221</v>
      </c>
      <c r="D126" s="7">
        <f t="shared" si="5"/>
        <v>2017</v>
      </c>
      <c r="E126" s="7" t="str">
        <f t="shared" si="3"/>
        <v>Q1</v>
      </c>
      <c r="F126" t="str">
        <f t="shared" si="4"/>
        <v>Pre-COVID</v>
      </c>
    </row>
    <row r="127" spans="1:6" x14ac:dyDescent="0.3">
      <c r="A127" t="s">
        <v>70</v>
      </c>
      <c r="B127" t="s">
        <v>50</v>
      </c>
      <c r="C127">
        <v>271753</v>
      </c>
      <c r="D127" s="7">
        <f t="shared" si="5"/>
        <v>2017</v>
      </c>
      <c r="E127" s="7" t="str">
        <f t="shared" si="3"/>
        <v>Q1</v>
      </c>
      <c r="F127" t="str">
        <f t="shared" si="4"/>
        <v>Pre-COVID</v>
      </c>
    </row>
    <row r="128" spans="1:6" x14ac:dyDescent="0.3">
      <c r="A128" t="s">
        <v>71</v>
      </c>
      <c r="B128" t="s">
        <v>45</v>
      </c>
      <c r="C128">
        <v>9359711</v>
      </c>
      <c r="D128" s="7">
        <f t="shared" si="5"/>
        <v>2017</v>
      </c>
      <c r="E128" s="7" t="str">
        <f t="shared" si="3"/>
        <v>Q2</v>
      </c>
      <c r="F128" t="str">
        <f t="shared" si="4"/>
        <v>Pre-COVID</v>
      </c>
    </row>
    <row r="129" spans="1:6" x14ac:dyDescent="0.3">
      <c r="A129" t="s">
        <v>71</v>
      </c>
      <c r="B129" t="s">
        <v>46</v>
      </c>
      <c r="C129">
        <v>637491</v>
      </c>
      <c r="D129" s="7">
        <f t="shared" si="5"/>
        <v>2017</v>
      </c>
      <c r="E129" s="7" t="str">
        <f t="shared" si="3"/>
        <v>Q2</v>
      </c>
      <c r="F129" t="str">
        <f t="shared" si="4"/>
        <v>Pre-COVID</v>
      </c>
    </row>
    <row r="130" spans="1:6" x14ac:dyDescent="0.3">
      <c r="A130" t="s">
        <v>71</v>
      </c>
      <c r="B130" t="s">
        <v>47</v>
      </c>
      <c r="C130">
        <v>7960058</v>
      </c>
      <c r="D130" s="7">
        <f t="shared" si="5"/>
        <v>2017</v>
      </c>
      <c r="E130" s="7" t="str">
        <f t="shared" ref="E130:E193" si="6">RIGHT(A130,2)</f>
        <v>Q2</v>
      </c>
      <c r="F130" t="str">
        <f t="shared" ref="F130:F193" si="7">IF(D130&lt;=2019,"Pre-COVID",IF(D130&lt;=2021,"COVID","Post-COVID"))</f>
        <v>Pre-COVID</v>
      </c>
    </row>
    <row r="131" spans="1:6" x14ac:dyDescent="0.3">
      <c r="A131" t="s">
        <v>71</v>
      </c>
      <c r="B131" t="s">
        <v>48</v>
      </c>
      <c r="C131">
        <v>98536</v>
      </c>
      <c r="D131" s="7">
        <f t="shared" ref="D131:D194" si="8">VALUE(LEFT(A131,4))</f>
        <v>2017</v>
      </c>
      <c r="E131" s="7" t="str">
        <f t="shared" si="6"/>
        <v>Q2</v>
      </c>
      <c r="F131" t="str">
        <f t="shared" si="7"/>
        <v>Pre-COVID</v>
      </c>
    </row>
    <row r="132" spans="1:6" x14ac:dyDescent="0.3">
      <c r="A132" t="s">
        <v>71</v>
      </c>
      <c r="B132" t="s">
        <v>49</v>
      </c>
      <c r="C132">
        <v>208655</v>
      </c>
      <c r="D132" s="7">
        <f t="shared" si="8"/>
        <v>2017</v>
      </c>
      <c r="E132" s="7" t="str">
        <f t="shared" si="6"/>
        <v>Q2</v>
      </c>
      <c r="F132" t="str">
        <f t="shared" si="7"/>
        <v>Pre-COVID</v>
      </c>
    </row>
    <row r="133" spans="1:6" x14ac:dyDescent="0.3">
      <c r="A133" t="s">
        <v>71</v>
      </c>
      <c r="B133" t="s">
        <v>50</v>
      </c>
      <c r="C133">
        <v>454971</v>
      </c>
      <c r="D133" s="7">
        <f t="shared" si="8"/>
        <v>2017</v>
      </c>
      <c r="E133" s="7" t="str">
        <f t="shared" si="6"/>
        <v>Q2</v>
      </c>
      <c r="F133" t="str">
        <f t="shared" si="7"/>
        <v>Pre-COVID</v>
      </c>
    </row>
    <row r="134" spans="1:6" x14ac:dyDescent="0.3">
      <c r="A134" t="s">
        <v>72</v>
      </c>
      <c r="B134" t="s">
        <v>45</v>
      </c>
      <c r="C134">
        <v>10524366</v>
      </c>
      <c r="D134" s="7">
        <f t="shared" si="8"/>
        <v>2017</v>
      </c>
      <c r="E134" s="7" t="str">
        <f t="shared" si="6"/>
        <v>Q3</v>
      </c>
      <c r="F134" t="str">
        <f t="shared" si="7"/>
        <v>Pre-COVID</v>
      </c>
    </row>
    <row r="135" spans="1:6" x14ac:dyDescent="0.3">
      <c r="A135" t="s">
        <v>72</v>
      </c>
      <c r="B135" t="s">
        <v>46</v>
      </c>
      <c r="C135">
        <v>752138</v>
      </c>
      <c r="D135" s="7">
        <f t="shared" si="8"/>
        <v>2017</v>
      </c>
      <c r="E135" s="7" t="str">
        <f t="shared" si="6"/>
        <v>Q3</v>
      </c>
      <c r="F135" t="str">
        <f t="shared" si="7"/>
        <v>Pre-COVID</v>
      </c>
    </row>
    <row r="136" spans="1:6" x14ac:dyDescent="0.3">
      <c r="A136" t="s">
        <v>72</v>
      </c>
      <c r="B136" t="s">
        <v>47</v>
      </c>
      <c r="C136">
        <v>8893941</v>
      </c>
      <c r="D136" s="7">
        <f t="shared" si="8"/>
        <v>2017</v>
      </c>
      <c r="E136" s="7" t="str">
        <f t="shared" si="6"/>
        <v>Q3</v>
      </c>
      <c r="F136" t="str">
        <f t="shared" si="7"/>
        <v>Pre-COVID</v>
      </c>
    </row>
    <row r="137" spans="1:6" x14ac:dyDescent="0.3">
      <c r="A137" t="s">
        <v>72</v>
      </c>
      <c r="B137" t="s">
        <v>48</v>
      </c>
      <c r="C137">
        <v>102166</v>
      </c>
      <c r="D137" s="7">
        <f t="shared" si="8"/>
        <v>2017</v>
      </c>
      <c r="E137" s="7" t="str">
        <f t="shared" si="6"/>
        <v>Q3</v>
      </c>
      <c r="F137" t="str">
        <f t="shared" si="7"/>
        <v>Pre-COVID</v>
      </c>
    </row>
    <row r="138" spans="1:6" x14ac:dyDescent="0.3">
      <c r="A138" t="s">
        <v>72</v>
      </c>
      <c r="B138" t="s">
        <v>49</v>
      </c>
      <c r="C138">
        <v>244849</v>
      </c>
      <c r="D138" s="7">
        <f t="shared" si="8"/>
        <v>2017</v>
      </c>
      <c r="E138" s="7" t="str">
        <f t="shared" si="6"/>
        <v>Q3</v>
      </c>
      <c r="F138" t="str">
        <f t="shared" si="7"/>
        <v>Pre-COVID</v>
      </c>
    </row>
    <row r="139" spans="1:6" x14ac:dyDescent="0.3">
      <c r="A139" t="s">
        <v>72</v>
      </c>
      <c r="B139" t="s">
        <v>50</v>
      </c>
      <c r="C139">
        <v>531272</v>
      </c>
      <c r="D139" s="7">
        <f t="shared" si="8"/>
        <v>2017</v>
      </c>
      <c r="E139" s="7" t="str">
        <f t="shared" si="6"/>
        <v>Q3</v>
      </c>
      <c r="F139" t="str">
        <f t="shared" si="7"/>
        <v>Pre-COVID</v>
      </c>
    </row>
    <row r="140" spans="1:6" x14ac:dyDescent="0.3">
      <c r="A140" t="s">
        <v>73</v>
      </c>
      <c r="B140" t="s">
        <v>45</v>
      </c>
      <c r="C140">
        <v>7876478</v>
      </c>
      <c r="D140" s="7">
        <f t="shared" si="8"/>
        <v>2017</v>
      </c>
      <c r="E140" s="7" t="str">
        <f t="shared" si="6"/>
        <v>Q4</v>
      </c>
      <c r="F140" t="str">
        <f t="shared" si="7"/>
        <v>Pre-COVID</v>
      </c>
    </row>
    <row r="141" spans="1:6" x14ac:dyDescent="0.3">
      <c r="A141" t="s">
        <v>73</v>
      </c>
      <c r="B141" t="s">
        <v>46</v>
      </c>
      <c r="C141">
        <v>493363</v>
      </c>
      <c r="D141" s="7">
        <f t="shared" si="8"/>
        <v>2017</v>
      </c>
      <c r="E141" s="7" t="str">
        <f t="shared" si="6"/>
        <v>Q4</v>
      </c>
      <c r="F141" t="str">
        <f t="shared" si="7"/>
        <v>Pre-COVID</v>
      </c>
    </row>
    <row r="142" spans="1:6" x14ac:dyDescent="0.3">
      <c r="A142" t="s">
        <v>73</v>
      </c>
      <c r="B142" t="s">
        <v>47</v>
      </c>
      <c r="C142">
        <v>6805197</v>
      </c>
      <c r="D142" s="7">
        <f t="shared" si="8"/>
        <v>2017</v>
      </c>
      <c r="E142" s="7" t="str">
        <f t="shared" si="6"/>
        <v>Q4</v>
      </c>
      <c r="F142" t="str">
        <f t="shared" si="7"/>
        <v>Pre-COVID</v>
      </c>
    </row>
    <row r="143" spans="1:6" x14ac:dyDescent="0.3">
      <c r="A143" t="s">
        <v>73</v>
      </c>
      <c r="B143" t="s">
        <v>48</v>
      </c>
      <c r="C143">
        <v>75744</v>
      </c>
      <c r="D143" s="7">
        <f t="shared" si="8"/>
        <v>2017</v>
      </c>
      <c r="E143" s="7" t="str">
        <f t="shared" si="6"/>
        <v>Q4</v>
      </c>
      <c r="F143" t="str">
        <f t="shared" si="7"/>
        <v>Pre-COVID</v>
      </c>
    </row>
    <row r="144" spans="1:6" x14ac:dyDescent="0.3">
      <c r="A144" t="s">
        <v>73</v>
      </c>
      <c r="B144" t="s">
        <v>49</v>
      </c>
      <c r="C144">
        <v>160780</v>
      </c>
      <c r="D144" s="7">
        <f t="shared" si="8"/>
        <v>2017</v>
      </c>
      <c r="E144" s="7" t="str">
        <f t="shared" si="6"/>
        <v>Q4</v>
      </c>
      <c r="F144" t="str">
        <f t="shared" si="7"/>
        <v>Pre-COVID</v>
      </c>
    </row>
    <row r="145" spans="1:6" x14ac:dyDescent="0.3">
      <c r="A145" t="s">
        <v>73</v>
      </c>
      <c r="B145" t="s">
        <v>50</v>
      </c>
      <c r="C145">
        <v>341394</v>
      </c>
      <c r="D145" s="7">
        <f t="shared" si="8"/>
        <v>2017</v>
      </c>
      <c r="E145" s="7" t="str">
        <f t="shared" si="6"/>
        <v>Q4</v>
      </c>
      <c r="F145" t="str">
        <f t="shared" si="7"/>
        <v>Pre-COVID</v>
      </c>
    </row>
    <row r="146" spans="1:6" x14ac:dyDescent="0.3">
      <c r="A146" t="s">
        <v>74</v>
      </c>
      <c r="B146" t="s">
        <v>45</v>
      </c>
      <c r="C146">
        <v>6939843</v>
      </c>
      <c r="D146" s="7">
        <f t="shared" si="8"/>
        <v>2018</v>
      </c>
      <c r="E146" s="7" t="str">
        <f t="shared" si="6"/>
        <v>Q1</v>
      </c>
      <c r="F146" t="str">
        <f t="shared" si="7"/>
        <v>Pre-COVID</v>
      </c>
    </row>
    <row r="147" spans="1:6" x14ac:dyDescent="0.3">
      <c r="A147" t="s">
        <v>74</v>
      </c>
      <c r="B147" t="s">
        <v>46</v>
      </c>
      <c r="C147">
        <v>428618</v>
      </c>
      <c r="D147" s="7">
        <f t="shared" si="8"/>
        <v>2018</v>
      </c>
      <c r="E147" s="7" t="str">
        <f t="shared" si="6"/>
        <v>Q1</v>
      </c>
      <c r="F147" t="str">
        <f t="shared" si="7"/>
        <v>Pre-COVID</v>
      </c>
    </row>
    <row r="148" spans="1:6" x14ac:dyDescent="0.3">
      <c r="A148" t="s">
        <v>74</v>
      </c>
      <c r="B148" t="s">
        <v>47</v>
      </c>
      <c r="C148">
        <v>6037482</v>
      </c>
      <c r="D148" s="7">
        <f t="shared" si="8"/>
        <v>2018</v>
      </c>
      <c r="E148" s="7" t="str">
        <f t="shared" si="6"/>
        <v>Q1</v>
      </c>
      <c r="F148" t="str">
        <f t="shared" si="7"/>
        <v>Pre-COVID</v>
      </c>
    </row>
    <row r="149" spans="1:6" x14ac:dyDescent="0.3">
      <c r="A149" t="s">
        <v>74</v>
      </c>
      <c r="B149" t="s">
        <v>48</v>
      </c>
      <c r="C149">
        <v>65439</v>
      </c>
      <c r="D149" s="7">
        <f t="shared" si="8"/>
        <v>2018</v>
      </c>
      <c r="E149" s="7" t="str">
        <f t="shared" si="6"/>
        <v>Q1</v>
      </c>
      <c r="F149" t="str">
        <f t="shared" si="7"/>
        <v>Pre-COVID</v>
      </c>
    </row>
    <row r="150" spans="1:6" x14ac:dyDescent="0.3">
      <c r="A150" t="s">
        <v>74</v>
      </c>
      <c r="B150" t="s">
        <v>49</v>
      </c>
      <c r="C150">
        <v>131234</v>
      </c>
      <c r="D150" s="7">
        <f t="shared" si="8"/>
        <v>2018</v>
      </c>
      <c r="E150" s="7" t="str">
        <f t="shared" si="6"/>
        <v>Q1</v>
      </c>
      <c r="F150" t="str">
        <f t="shared" si="7"/>
        <v>Pre-COVID</v>
      </c>
    </row>
    <row r="151" spans="1:6" x14ac:dyDescent="0.3">
      <c r="A151" t="s">
        <v>74</v>
      </c>
      <c r="B151" t="s">
        <v>50</v>
      </c>
      <c r="C151">
        <v>277070</v>
      </c>
      <c r="D151" s="7">
        <f t="shared" si="8"/>
        <v>2018</v>
      </c>
      <c r="E151" s="7" t="str">
        <f t="shared" si="6"/>
        <v>Q1</v>
      </c>
      <c r="F151" t="str">
        <f t="shared" si="7"/>
        <v>Pre-COVID</v>
      </c>
    </row>
    <row r="152" spans="1:6" x14ac:dyDescent="0.3">
      <c r="A152" t="s">
        <v>75</v>
      </c>
      <c r="B152" t="s">
        <v>45</v>
      </c>
      <c r="C152">
        <v>10031143</v>
      </c>
      <c r="D152" s="7">
        <f t="shared" si="8"/>
        <v>2018</v>
      </c>
      <c r="E152" s="7" t="str">
        <f t="shared" si="6"/>
        <v>Q2</v>
      </c>
      <c r="F152" t="str">
        <f t="shared" si="7"/>
        <v>Pre-COVID</v>
      </c>
    </row>
    <row r="153" spans="1:6" x14ac:dyDescent="0.3">
      <c r="A153" t="s">
        <v>75</v>
      </c>
      <c r="B153" t="s">
        <v>46</v>
      </c>
      <c r="C153">
        <v>665643</v>
      </c>
      <c r="D153" s="7">
        <f t="shared" si="8"/>
        <v>2018</v>
      </c>
      <c r="E153" s="7" t="str">
        <f t="shared" si="6"/>
        <v>Q2</v>
      </c>
      <c r="F153" t="str">
        <f t="shared" si="7"/>
        <v>Pre-COVID</v>
      </c>
    </row>
    <row r="154" spans="1:6" x14ac:dyDescent="0.3">
      <c r="A154" t="s">
        <v>75</v>
      </c>
      <c r="B154" t="s">
        <v>47</v>
      </c>
      <c r="C154">
        <v>8558244</v>
      </c>
      <c r="D154" s="7">
        <f t="shared" si="8"/>
        <v>2018</v>
      </c>
      <c r="E154" s="7" t="str">
        <f t="shared" si="6"/>
        <v>Q2</v>
      </c>
      <c r="F154" t="str">
        <f t="shared" si="7"/>
        <v>Pre-COVID</v>
      </c>
    </row>
    <row r="155" spans="1:6" x14ac:dyDescent="0.3">
      <c r="A155" t="s">
        <v>75</v>
      </c>
      <c r="B155" t="s">
        <v>48</v>
      </c>
      <c r="C155">
        <v>103617</v>
      </c>
      <c r="D155" s="7">
        <f t="shared" si="8"/>
        <v>2018</v>
      </c>
      <c r="E155" s="7" t="str">
        <f t="shared" si="6"/>
        <v>Q2</v>
      </c>
      <c r="F155" t="str">
        <f t="shared" si="7"/>
        <v>Pre-COVID</v>
      </c>
    </row>
    <row r="156" spans="1:6" x14ac:dyDescent="0.3">
      <c r="A156" t="s">
        <v>75</v>
      </c>
      <c r="B156" t="s">
        <v>49</v>
      </c>
      <c r="C156">
        <v>217471</v>
      </c>
      <c r="D156" s="7">
        <f t="shared" si="8"/>
        <v>2018</v>
      </c>
      <c r="E156" s="7" t="str">
        <f t="shared" si="6"/>
        <v>Q2</v>
      </c>
      <c r="F156" t="str">
        <f t="shared" si="7"/>
        <v>Pre-COVID</v>
      </c>
    </row>
    <row r="157" spans="1:6" x14ac:dyDescent="0.3">
      <c r="A157" t="s">
        <v>75</v>
      </c>
      <c r="B157" t="s">
        <v>50</v>
      </c>
      <c r="C157">
        <v>486168</v>
      </c>
      <c r="D157" s="7">
        <f t="shared" si="8"/>
        <v>2018</v>
      </c>
      <c r="E157" s="7" t="str">
        <f t="shared" si="6"/>
        <v>Q2</v>
      </c>
      <c r="F157" t="str">
        <f t="shared" si="7"/>
        <v>Pre-COVID</v>
      </c>
    </row>
    <row r="158" spans="1:6" x14ac:dyDescent="0.3">
      <c r="A158" t="s">
        <v>76</v>
      </c>
      <c r="B158" t="s">
        <v>45</v>
      </c>
      <c r="C158">
        <v>11131101</v>
      </c>
      <c r="D158" s="7">
        <f t="shared" si="8"/>
        <v>2018</v>
      </c>
      <c r="E158" s="7" t="str">
        <f t="shared" si="6"/>
        <v>Q3</v>
      </c>
      <c r="F158" t="str">
        <f t="shared" si="7"/>
        <v>Pre-COVID</v>
      </c>
    </row>
    <row r="159" spans="1:6" x14ac:dyDescent="0.3">
      <c r="A159" t="s">
        <v>76</v>
      </c>
      <c r="B159" t="s">
        <v>46</v>
      </c>
      <c r="C159">
        <v>773012</v>
      </c>
      <c r="D159" s="7">
        <f t="shared" si="8"/>
        <v>2018</v>
      </c>
      <c r="E159" s="7" t="str">
        <f t="shared" si="6"/>
        <v>Q3</v>
      </c>
      <c r="F159" t="str">
        <f t="shared" si="7"/>
        <v>Pre-COVID</v>
      </c>
    </row>
    <row r="160" spans="1:6" x14ac:dyDescent="0.3">
      <c r="A160" t="s">
        <v>76</v>
      </c>
      <c r="B160" t="s">
        <v>47</v>
      </c>
      <c r="C160">
        <v>9430981</v>
      </c>
      <c r="D160" s="7">
        <f t="shared" si="8"/>
        <v>2018</v>
      </c>
      <c r="E160" s="7" t="str">
        <f t="shared" si="6"/>
        <v>Q3</v>
      </c>
      <c r="F160" t="str">
        <f t="shared" si="7"/>
        <v>Pre-COVID</v>
      </c>
    </row>
    <row r="161" spans="1:6" x14ac:dyDescent="0.3">
      <c r="A161" t="s">
        <v>76</v>
      </c>
      <c r="B161" t="s">
        <v>48</v>
      </c>
      <c r="C161">
        <v>114010</v>
      </c>
      <c r="D161" s="7">
        <f t="shared" si="8"/>
        <v>2018</v>
      </c>
      <c r="E161" s="7" t="str">
        <f t="shared" si="6"/>
        <v>Q3</v>
      </c>
      <c r="F161" t="str">
        <f t="shared" si="7"/>
        <v>Pre-COVID</v>
      </c>
    </row>
    <row r="162" spans="1:6" x14ac:dyDescent="0.3">
      <c r="A162" t="s">
        <v>76</v>
      </c>
      <c r="B162" t="s">
        <v>49</v>
      </c>
      <c r="C162">
        <v>251687</v>
      </c>
      <c r="D162" s="7">
        <f t="shared" si="8"/>
        <v>2018</v>
      </c>
      <c r="E162" s="7" t="str">
        <f t="shared" si="6"/>
        <v>Q3</v>
      </c>
      <c r="F162" t="str">
        <f t="shared" si="7"/>
        <v>Pre-COVID</v>
      </c>
    </row>
    <row r="163" spans="1:6" x14ac:dyDescent="0.3">
      <c r="A163" t="s">
        <v>76</v>
      </c>
      <c r="B163" t="s">
        <v>50</v>
      </c>
      <c r="C163">
        <v>561411</v>
      </c>
      <c r="D163" s="7">
        <f t="shared" si="8"/>
        <v>2018</v>
      </c>
      <c r="E163" s="7" t="str">
        <f t="shared" si="6"/>
        <v>Q3</v>
      </c>
      <c r="F163" t="str">
        <f t="shared" si="7"/>
        <v>Pre-COVID</v>
      </c>
    </row>
    <row r="164" spans="1:6" x14ac:dyDescent="0.3">
      <c r="A164" t="s">
        <v>77</v>
      </c>
      <c r="B164" t="s">
        <v>45</v>
      </c>
      <c r="C164">
        <v>8419046</v>
      </c>
      <c r="D164" s="7">
        <f t="shared" si="8"/>
        <v>2018</v>
      </c>
      <c r="E164" s="7" t="str">
        <f t="shared" si="6"/>
        <v>Q4</v>
      </c>
      <c r="F164" t="str">
        <f t="shared" si="7"/>
        <v>Pre-COVID</v>
      </c>
    </row>
    <row r="165" spans="1:6" x14ac:dyDescent="0.3">
      <c r="A165" t="s">
        <v>77</v>
      </c>
      <c r="B165" t="s">
        <v>46</v>
      </c>
      <c r="C165">
        <v>520533</v>
      </c>
      <c r="D165" s="7">
        <f t="shared" si="8"/>
        <v>2018</v>
      </c>
      <c r="E165" s="7" t="str">
        <f t="shared" si="6"/>
        <v>Q4</v>
      </c>
      <c r="F165" t="str">
        <f t="shared" si="7"/>
        <v>Pre-COVID</v>
      </c>
    </row>
    <row r="166" spans="1:6" x14ac:dyDescent="0.3">
      <c r="A166" t="s">
        <v>77</v>
      </c>
      <c r="B166" t="s">
        <v>47</v>
      </c>
      <c r="C166">
        <v>7292712</v>
      </c>
      <c r="D166" s="7">
        <f t="shared" si="8"/>
        <v>2018</v>
      </c>
      <c r="E166" s="7" t="str">
        <f t="shared" si="6"/>
        <v>Q4</v>
      </c>
      <c r="F166" t="str">
        <f t="shared" si="7"/>
        <v>Pre-COVID</v>
      </c>
    </row>
    <row r="167" spans="1:6" x14ac:dyDescent="0.3">
      <c r="A167" t="s">
        <v>77</v>
      </c>
      <c r="B167" t="s">
        <v>48</v>
      </c>
      <c r="C167">
        <v>82273</v>
      </c>
      <c r="D167" s="7">
        <f t="shared" si="8"/>
        <v>2018</v>
      </c>
      <c r="E167" s="7" t="str">
        <f t="shared" si="6"/>
        <v>Q4</v>
      </c>
      <c r="F167" t="str">
        <f t="shared" si="7"/>
        <v>Pre-COVID</v>
      </c>
    </row>
    <row r="168" spans="1:6" x14ac:dyDescent="0.3">
      <c r="A168" t="s">
        <v>77</v>
      </c>
      <c r="B168" t="s">
        <v>49</v>
      </c>
      <c r="C168">
        <v>170516</v>
      </c>
      <c r="D168" s="7">
        <f t="shared" si="8"/>
        <v>2018</v>
      </c>
      <c r="E168" s="7" t="str">
        <f t="shared" si="6"/>
        <v>Q4</v>
      </c>
      <c r="F168" t="str">
        <f t="shared" si="7"/>
        <v>Pre-COVID</v>
      </c>
    </row>
    <row r="169" spans="1:6" x14ac:dyDescent="0.3">
      <c r="A169" t="s">
        <v>77</v>
      </c>
      <c r="B169" t="s">
        <v>50</v>
      </c>
      <c r="C169">
        <v>353012</v>
      </c>
      <c r="D169" s="7">
        <f t="shared" si="8"/>
        <v>2018</v>
      </c>
      <c r="E169" s="7" t="str">
        <f t="shared" si="6"/>
        <v>Q4</v>
      </c>
      <c r="F169" t="str">
        <f t="shared" si="7"/>
        <v>Pre-COVID</v>
      </c>
    </row>
    <row r="170" spans="1:6" x14ac:dyDescent="0.3">
      <c r="A170" t="s">
        <v>78</v>
      </c>
      <c r="B170" t="s">
        <v>45</v>
      </c>
      <c r="C170">
        <v>7435673</v>
      </c>
      <c r="D170" s="7">
        <f t="shared" si="8"/>
        <v>2019</v>
      </c>
      <c r="E170" s="7" t="str">
        <f t="shared" si="6"/>
        <v>Q1</v>
      </c>
      <c r="F170" t="str">
        <f t="shared" si="7"/>
        <v>Pre-COVID</v>
      </c>
    </row>
    <row r="171" spans="1:6" x14ac:dyDescent="0.3">
      <c r="A171" t="s">
        <v>78</v>
      </c>
      <c r="B171" t="s">
        <v>46</v>
      </c>
      <c r="C171">
        <v>474297</v>
      </c>
      <c r="D171" s="7">
        <f t="shared" si="8"/>
        <v>2019</v>
      </c>
      <c r="E171" s="7" t="str">
        <f t="shared" si="6"/>
        <v>Q1</v>
      </c>
      <c r="F171" t="str">
        <f t="shared" si="7"/>
        <v>Pre-COVID</v>
      </c>
    </row>
    <row r="172" spans="1:6" x14ac:dyDescent="0.3">
      <c r="A172" t="s">
        <v>78</v>
      </c>
      <c r="B172" t="s">
        <v>47</v>
      </c>
      <c r="C172">
        <v>6480314</v>
      </c>
      <c r="D172" s="7">
        <f t="shared" si="8"/>
        <v>2019</v>
      </c>
      <c r="E172" s="7" t="str">
        <f t="shared" si="6"/>
        <v>Q1</v>
      </c>
      <c r="F172" t="str">
        <f t="shared" si="7"/>
        <v>Pre-COVID</v>
      </c>
    </row>
    <row r="173" spans="1:6" x14ac:dyDescent="0.3">
      <c r="A173" t="s">
        <v>78</v>
      </c>
      <c r="B173" t="s">
        <v>48</v>
      </c>
      <c r="C173">
        <v>68606</v>
      </c>
      <c r="D173" s="7">
        <f t="shared" si="8"/>
        <v>2019</v>
      </c>
      <c r="E173" s="7" t="str">
        <f t="shared" si="6"/>
        <v>Q1</v>
      </c>
      <c r="F173" t="str">
        <f t="shared" si="7"/>
        <v>Pre-COVID</v>
      </c>
    </row>
    <row r="174" spans="1:6" x14ac:dyDescent="0.3">
      <c r="A174" t="s">
        <v>78</v>
      </c>
      <c r="B174" t="s">
        <v>49</v>
      </c>
      <c r="C174">
        <v>142569</v>
      </c>
      <c r="D174" s="7">
        <f t="shared" si="8"/>
        <v>2019</v>
      </c>
      <c r="E174" s="7" t="str">
        <f t="shared" si="6"/>
        <v>Q1</v>
      </c>
      <c r="F174" t="str">
        <f t="shared" si="7"/>
        <v>Pre-COVID</v>
      </c>
    </row>
    <row r="175" spans="1:6" x14ac:dyDescent="0.3">
      <c r="A175" t="s">
        <v>78</v>
      </c>
      <c r="B175" t="s">
        <v>50</v>
      </c>
      <c r="C175">
        <v>269887</v>
      </c>
      <c r="D175" s="7">
        <f t="shared" si="8"/>
        <v>2019</v>
      </c>
      <c r="E175" s="7" t="str">
        <f t="shared" si="6"/>
        <v>Q1</v>
      </c>
      <c r="F175" t="str">
        <f t="shared" si="7"/>
        <v>Pre-COVID</v>
      </c>
    </row>
    <row r="176" spans="1:6" x14ac:dyDescent="0.3">
      <c r="A176" t="s">
        <v>79</v>
      </c>
      <c r="B176" t="s">
        <v>45</v>
      </c>
      <c r="C176">
        <v>10479523</v>
      </c>
      <c r="D176" s="7">
        <f t="shared" si="8"/>
        <v>2019</v>
      </c>
      <c r="E176" s="7" t="str">
        <f t="shared" si="6"/>
        <v>Q2</v>
      </c>
      <c r="F176" t="str">
        <f t="shared" si="7"/>
        <v>Pre-COVID</v>
      </c>
    </row>
    <row r="177" spans="1:6" x14ac:dyDescent="0.3">
      <c r="A177" t="s">
        <v>79</v>
      </c>
      <c r="B177" t="s">
        <v>46</v>
      </c>
      <c r="C177">
        <v>728548</v>
      </c>
      <c r="D177" s="7">
        <f t="shared" si="8"/>
        <v>2019</v>
      </c>
      <c r="E177" s="7" t="str">
        <f t="shared" si="6"/>
        <v>Q2</v>
      </c>
      <c r="F177" t="str">
        <f t="shared" si="7"/>
        <v>Pre-COVID</v>
      </c>
    </row>
    <row r="178" spans="1:6" x14ac:dyDescent="0.3">
      <c r="A178" t="s">
        <v>79</v>
      </c>
      <c r="B178" t="s">
        <v>47</v>
      </c>
      <c r="C178">
        <v>8957586</v>
      </c>
      <c r="D178" s="7">
        <f t="shared" si="8"/>
        <v>2019</v>
      </c>
      <c r="E178" s="7" t="str">
        <f t="shared" si="6"/>
        <v>Q2</v>
      </c>
      <c r="F178" t="str">
        <f t="shared" si="7"/>
        <v>Pre-COVID</v>
      </c>
    </row>
    <row r="179" spans="1:6" x14ac:dyDescent="0.3">
      <c r="A179" t="s">
        <v>79</v>
      </c>
      <c r="B179" t="s">
        <v>48</v>
      </c>
      <c r="C179">
        <v>102534</v>
      </c>
      <c r="D179" s="7">
        <f t="shared" si="8"/>
        <v>2019</v>
      </c>
      <c r="E179" s="7" t="str">
        <f t="shared" si="6"/>
        <v>Q2</v>
      </c>
      <c r="F179" t="str">
        <f t="shared" si="7"/>
        <v>Pre-COVID</v>
      </c>
    </row>
    <row r="180" spans="1:6" x14ac:dyDescent="0.3">
      <c r="A180" t="s">
        <v>79</v>
      </c>
      <c r="B180" t="s">
        <v>49</v>
      </c>
      <c r="C180">
        <v>222433</v>
      </c>
      <c r="D180" s="7">
        <f t="shared" si="8"/>
        <v>2019</v>
      </c>
      <c r="E180" s="7" t="str">
        <f t="shared" si="6"/>
        <v>Q2</v>
      </c>
      <c r="F180" t="str">
        <f t="shared" si="7"/>
        <v>Pre-COVID</v>
      </c>
    </row>
    <row r="181" spans="1:6" x14ac:dyDescent="0.3">
      <c r="A181" t="s">
        <v>79</v>
      </c>
      <c r="B181" t="s">
        <v>50</v>
      </c>
      <c r="C181">
        <v>468422</v>
      </c>
      <c r="D181" s="7">
        <f t="shared" si="8"/>
        <v>2019</v>
      </c>
      <c r="E181" s="7" t="str">
        <f t="shared" si="6"/>
        <v>Q2</v>
      </c>
      <c r="F181" t="str">
        <f t="shared" si="7"/>
        <v>Pre-COVID</v>
      </c>
    </row>
    <row r="182" spans="1:6" x14ac:dyDescent="0.3">
      <c r="A182" t="s">
        <v>80</v>
      </c>
      <c r="B182" t="s">
        <v>45</v>
      </c>
      <c r="C182">
        <v>11597270</v>
      </c>
      <c r="D182" s="7">
        <f t="shared" si="8"/>
        <v>2019</v>
      </c>
      <c r="E182" s="7" t="str">
        <f t="shared" si="6"/>
        <v>Q3</v>
      </c>
      <c r="F182" t="str">
        <f t="shared" si="7"/>
        <v>Pre-COVID</v>
      </c>
    </row>
    <row r="183" spans="1:6" x14ac:dyDescent="0.3">
      <c r="A183" t="s">
        <v>80</v>
      </c>
      <c r="B183" t="s">
        <v>46</v>
      </c>
      <c r="C183">
        <v>832198</v>
      </c>
      <c r="D183" s="7">
        <f t="shared" si="8"/>
        <v>2019</v>
      </c>
      <c r="E183" s="7" t="str">
        <f t="shared" si="6"/>
        <v>Q3</v>
      </c>
      <c r="F183" t="str">
        <f t="shared" si="7"/>
        <v>Pre-COVID</v>
      </c>
    </row>
    <row r="184" spans="1:6" x14ac:dyDescent="0.3">
      <c r="A184" t="s">
        <v>80</v>
      </c>
      <c r="B184" t="s">
        <v>47</v>
      </c>
      <c r="C184">
        <v>9852369</v>
      </c>
      <c r="D184" s="7">
        <f t="shared" si="8"/>
        <v>2019</v>
      </c>
      <c r="E184" s="7" t="str">
        <f t="shared" si="6"/>
        <v>Q3</v>
      </c>
      <c r="F184" t="str">
        <f t="shared" si="7"/>
        <v>Pre-COVID</v>
      </c>
    </row>
    <row r="185" spans="1:6" x14ac:dyDescent="0.3">
      <c r="A185" t="s">
        <v>80</v>
      </c>
      <c r="B185" t="s">
        <v>48</v>
      </c>
      <c r="C185">
        <v>116018</v>
      </c>
      <c r="D185" s="7">
        <f t="shared" si="8"/>
        <v>2019</v>
      </c>
      <c r="E185" s="7" t="str">
        <f t="shared" si="6"/>
        <v>Q3</v>
      </c>
      <c r="F185" t="str">
        <f t="shared" si="7"/>
        <v>Pre-COVID</v>
      </c>
    </row>
    <row r="186" spans="1:6" x14ac:dyDescent="0.3">
      <c r="A186" t="s">
        <v>80</v>
      </c>
      <c r="B186" t="s">
        <v>49</v>
      </c>
      <c r="C186">
        <v>259988</v>
      </c>
      <c r="D186" s="7">
        <f t="shared" si="8"/>
        <v>2019</v>
      </c>
      <c r="E186" s="7" t="str">
        <f t="shared" si="6"/>
        <v>Q3</v>
      </c>
      <c r="F186" t="str">
        <f t="shared" si="7"/>
        <v>Pre-COVID</v>
      </c>
    </row>
    <row r="187" spans="1:6" x14ac:dyDescent="0.3">
      <c r="A187" t="s">
        <v>80</v>
      </c>
      <c r="B187" t="s">
        <v>50</v>
      </c>
      <c r="C187">
        <v>536697</v>
      </c>
      <c r="D187" s="7">
        <f t="shared" si="8"/>
        <v>2019</v>
      </c>
      <c r="E187" s="7" t="str">
        <f t="shared" si="6"/>
        <v>Q3</v>
      </c>
      <c r="F187" t="str">
        <f t="shared" si="7"/>
        <v>Pre-COVID</v>
      </c>
    </row>
    <row r="188" spans="1:6" x14ac:dyDescent="0.3">
      <c r="A188" t="s">
        <v>81</v>
      </c>
      <c r="B188" t="s">
        <v>45</v>
      </c>
      <c r="C188">
        <v>8540952</v>
      </c>
      <c r="D188" s="7">
        <f t="shared" si="8"/>
        <v>2019</v>
      </c>
      <c r="E188" s="7" t="str">
        <f t="shared" si="6"/>
        <v>Q4</v>
      </c>
      <c r="F188" t="str">
        <f t="shared" si="7"/>
        <v>Pre-COVID</v>
      </c>
    </row>
    <row r="189" spans="1:6" x14ac:dyDescent="0.3">
      <c r="A189" t="s">
        <v>81</v>
      </c>
      <c r="B189" t="s">
        <v>46</v>
      </c>
      <c r="C189">
        <v>550423</v>
      </c>
      <c r="D189" s="7">
        <f t="shared" si="8"/>
        <v>2019</v>
      </c>
      <c r="E189" s="7" t="str">
        <f t="shared" si="6"/>
        <v>Q4</v>
      </c>
      <c r="F189" t="str">
        <f t="shared" si="7"/>
        <v>Pre-COVID</v>
      </c>
    </row>
    <row r="190" spans="1:6" x14ac:dyDescent="0.3">
      <c r="A190" t="s">
        <v>81</v>
      </c>
      <c r="B190" t="s">
        <v>47</v>
      </c>
      <c r="C190">
        <v>7385982</v>
      </c>
      <c r="D190" s="7">
        <f t="shared" si="8"/>
        <v>2019</v>
      </c>
      <c r="E190" s="7" t="str">
        <f t="shared" si="6"/>
        <v>Q4</v>
      </c>
      <c r="F190" t="str">
        <f t="shared" si="7"/>
        <v>Pre-COVID</v>
      </c>
    </row>
    <row r="191" spans="1:6" x14ac:dyDescent="0.3">
      <c r="A191" t="s">
        <v>81</v>
      </c>
      <c r="B191" t="s">
        <v>48</v>
      </c>
      <c r="C191">
        <v>82678</v>
      </c>
      <c r="D191" s="7">
        <f t="shared" si="8"/>
        <v>2019</v>
      </c>
      <c r="E191" s="7" t="str">
        <f t="shared" si="6"/>
        <v>Q4</v>
      </c>
      <c r="F191" t="str">
        <f t="shared" si="7"/>
        <v>Pre-COVID</v>
      </c>
    </row>
    <row r="192" spans="1:6" x14ac:dyDescent="0.3">
      <c r="A192" t="s">
        <v>81</v>
      </c>
      <c r="B192" t="s">
        <v>49</v>
      </c>
      <c r="C192">
        <v>180453</v>
      </c>
      <c r="D192" s="7">
        <f t="shared" si="8"/>
        <v>2019</v>
      </c>
      <c r="E192" s="7" t="str">
        <f t="shared" si="6"/>
        <v>Q4</v>
      </c>
      <c r="F192" t="str">
        <f t="shared" si="7"/>
        <v>Pre-COVID</v>
      </c>
    </row>
    <row r="193" spans="1:6" x14ac:dyDescent="0.3">
      <c r="A193" t="s">
        <v>81</v>
      </c>
      <c r="B193" t="s">
        <v>50</v>
      </c>
      <c r="C193">
        <v>341416</v>
      </c>
      <c r="D193" s="7">
        <f t="shared" si="8"/>
        <v>2019</v>
      </c>
      <c r="E193" s="7" t="str">
        <f t="shared" si="6"/>
        <v>Q4</v>
      </c>
      <c r="F193" t="str">
        <f t="shared" si="7"/>
        <v>Pre-COVID</v>
      </c>
    </row>
    <row r="194" spans="1:6" x14ac:dyDescent="0.3">
      <c r="A194" t="s">
        <v>82</v>
      </c>
      <c r="B194" t="s">
        <v>45</v>
      </c>
      <c r="C194">
        <v>5916477</v>
      </c>
      <c r="D194" s="7">
        <f t="shared" si="8"/>
        <v>2020</v>
      </c>
      <c r="E194" s="7" t="str">
        <f t="shared" ref="E194:E257" si="9">RIGHT(A194,2)</f>
        <v>Q1</v>
      </c>
      <c r="F194" t="str">
        <f t="shared" ref="F194:F257" si="10">IF(D194&lt;=2019,"Pre-COVID",IF(D194&lt;=2021,"COVID","Post-COVID"))</f>
        <v>COVID</v>
      </c>
    </row>
    <row r="195" spans="1:6" x14ac:dyDescent="0.3">
      <c r="A195" t="s">
        <v>82</v>
      </c>
      <c r="B195" t="s">
        <v>46</v>
      </c>
      <c r="C195">
        <v>397387</v>
      </c>
      <c r="D195" s="7">
        <f t="shared" ref="D195:D258" si="11">VALUE(LEFT(A195,4))</f>
        <v>2020</v>
      </c>
      <c r="E195" s="7" t="str">
        <f t="shared" si="9"/>
        <v>Q1</v>
      </c>
      <c r="F195" t="str">
        <f t="shared" si="10"/>
        <v>COVID</v>
      </c>
    </row>
    <row r="196" spans="1:6" x14ac:dyDescent="0.3">
      <c r="A196" t="s">
        <v>82</v>
      </c>
      <c r="B196" t="s">
        <v>47</v>
      </c>
      <c r="C196">
        <v>5139128</v>
      </c>
      <c r="D196" s="7">
        <f t="shared" si="11"/>
        <v>2020</v>
      </c>
      <c r="E196" s="7" t="str">
        <f t="shared" si="9"/>
        <v>Q1</v>
      </c>
      <c r="F196" t="str">
        <f t="shared" si="10"/>
        <v>COVID</v>
      </c>
    </row>
    <row r="197" spans="1:6" x14ac:dyDescent="0.3">
      <c r="A197" t="s">
        <v>82</v>
      </c>
      <c r="B197" t="s">
        <v>48</v>
      </c>
      <c r="C197">
        <v>55763</v>
      </c>
      <c r="D197" s="7">
        <f t="shared" si="11"/>
        <v>2020</v>
      </c>
      <c r="E197" s="7" t="str">
        <f t="shared" si="9"/>
        <v>Q1</v>
      </c>
      <c r="F197" t="str">
        <f t="shared" si="10"/>
        <v>COVID</v>
      </c>
    </row>
    <row r="198" spans="1:6" x14ac:dyDescent="0.3">
      <c r="A198" t="s">
        <v>82</v>
      </c>
      <c r="B198" t="s">
        <v>49</v>
      </c>
      <c r="C198">
        <v>107971</v>
      </c>
      <c r="D198" s="7">
        <f t="shared" si="11"/>
        <v>2020</v>
      </c>
      <c r="E198" s="7" t="str">
        <f t="shared" si="9"/>
        <v>Q1</v>
      </c>
      <c r="F198" t="str">
        <f t="shared" si="10"/>
        <v>COVID</v>
      </c>
    </row>
    <row r="199" spans="1:6" x14ac:dyDescent="0.3">
      <c r="A199" t="s">
        <v>82</v>
      </c>
      <c r="B199" t="s">
        <v>50</v>
      </c>
      <c r="C199">
        <v>216228</v>
      </c>
      <c r="D199" s="7">
        <f t="shared" si="11"/>
        <v>2020</v>
      </c>
      <c r="E199" s="7" t="str">
        <f t="shared" si="9"/>
        <v>Q1</v>
      </c>
      <c r="F199" t="str">
        <f t="shared" si="10"/>
        <v>COVID</v>
      </c>
    </row>
    <row r="200" spans="1:6" x14ac:dyDescent="0.3">
      <c r="A200" t="s">
        <v>83</v>
      </c>
      <c r="B200" t="s">
        <v>45</v>
      </c>
      <c r="C200">
        <v>164402</v>
      </c>
      <c r="D200" s="7">
        <f t="shared" si="11"/>
        <v>2020</v>
      </c>
      <c r="E200" s="7" t="str">
        <f t="shared" si="9"/>
        <v>Q2</v>
      </c>
      <c r="F200" t="str">
        <f t="shared" si="10"/>
        <v>COVID</v>
      </c>
    </row>
    <row r="201" spans="1:6" x14ac:dyDescent="0.3">
      <c r="A201" t="s">
        <v>83</v>
      </c>
      <c r="B201" t="s">
        <v>46</v>
      </c>
      <c r="C201">
        <v>7879</v>
      </c>
      <c r="D201" s="7">
        <f t="shared" si="11"/>
        <v>2020</v>
      </c>
      <c r="E201" s="7" t="str">
        <f t="shared" si="9"/>
        <v>Q2</v>
      </c>
      <c r="F201" t="str">
        <f t="shared" si="10"/>
        <v>COVID</v>
      </c>
    </row>
    <row r="202" spans="1:6" x14ac:dyDescent="0.3">
      <c r="A202" t="s">
        <v>83</v>
      </c>
      <c r="B202" t="s">
        <v>47</v>
      </c>
      <c r="C202">
        <v>155592</v>
      </c>
      <c r="D202" s="7">
        <f t="shared" si="11"/>
        <v>2020</v>
      </c>
      <c r="E202" s="7" t="str">
        <f t="shared" si="9"/>
        <v>Q2</v>
      </c>
      <c r="F202" t="str">
        <f t="shared" si="10"/>
        <v>COVID</v>
      </c>
    </row>
    <row r="203" spans="1:6" x14ac:dyDescent="0.3">
      <c r="A203" t="s">
        <v>83</v>
      </c>
      <c r="B203" t="s">
        <v>48</v>
      </c>
      <c r="C203">
        <v>808</v>
      </c>
      <c r="D203" s="7">
        <f t="shared" si="11"/>
        <v>2020</v>
      </c>
      <c r="E203" s="7" t="str">
        <f t="shared" si="9"/>
        <v>Q2</v>
      </c>
      <c r="F203" t="str">
        <f t="shared" si="10"/>
        <v>COVID</v>
      </c>
    </row>
    <row r="204" spans="1:6" x14ac:dyDescent="0.3">
      <c r="A204" t="s">
        <v>83</v>
      </c>
      <c r="B204" t="s">
        <v>49</v>
      </c>
      <c r="C204">
        <v>3</v>
      </c>
      <c r="D204" s="7">
        <f t="shared" si="11"/>
        <v>2020</v>
      </c>
      <c r="E204" s="7" t="str">
        <f t="shared" si="9"/>
        <v>Q2</v>
      </c>
      <c r="F204" t="str">
        <f t="shared" si="10"/>
        <v>COVID</v>
      </c>
    </row>
    <row r="205" spans="1:6" x14ac:dyDescent="0.3">
      <c r="A205" t="s">
        <v>83</v>
      </c>
      <c r="B205" t="s">
        <v>50</v>
      </c>
      <c r="C205">
        <v>120</v>
      </c>
      <c r="D205" s="7">
        <f t="shared" si="11"/>
        <v>2020</v>
      </c>
      <c r="E205" s="7" t="str">
        <f t="shared" si="9"/>
        <v>Q2</v>
      </c>
      <c r="F205" t="str">
        <f t="shared" si="10"/>
        <v>COVID</v>
      </c>
    </row>
    <row r="206" spans="1:6" x14ac:dyDescent="0.3">
      <c r="A206" t="s">
        <v>84</v>
      </c>
      <c r="B206" t="s">
        <v>45</v>
      </c>
      <c r="C206">
        <v>1453684</v>
      </c>
      <c r="D206" s="7">
        <f t="shared" si="11"/>
        <v>2020</v>
      </c>
      <c r="E206" s="7" t="str">
        <f t="shared" si="9"/>
        <v>Q3</v>
      </c>
      <c r="F206" t="str">
        <f t="shared" si="10"/>
        <v>COVID</v>
      </c>
    </row>
    <row r="207" spans="1:6" x14ac:dyDescent="0.3">
      <c r="A207" t="s">
        <v>84</v>
      </c>
      <c r="B207" t="s">
        <v>46</v>
      </c>
      <c r="C207">
        <v>90287</v>
      </c>
      <c r="D207" s="7">
        <f t="shared" si="11"/>
        <v>2020</v>
      </c>
      <c r="E207" s="7" t="str">
        <f t="shared" si="9"/>
        <v>Q3</v>
      </c>
      <c r="F207" t="str">
        <f t="shared" si="10"/>
        <v>COVID</v>
      </c>
    </row>
    <row r="208" spans="1:6" x14ac:dyDescent="0.3">
      <c r="A208" t="s">
        <v>84</v>
      </c>
      <c r="B208" t="s">
        <v>47</v>
      </c>
      <c r="C208">
        <v>1270411</v>
      </c>
      <c r="D208" s="7">
        <f t="shared" si="11"/>
        <v>2020</v>
      </c>
      <c r="E208" s="7" t="str">
        <f t="shared" si="9"/>
        <v>Q3</v>
      </c>
      <c r="F208" t="str">
        <f t="shared" si="10"/>
        <v>COVID</v>
      </c>
    </row>
    <row r="209" spans="1:6" x14ac:dyDescent="0.3">
      <c r="A209" t="s">
        <v>84</v>
      </c>
      <c r="B209" t="s">
        <v>48</v>
      </c>
      <c r="C209">
        <v>19968</v>
      </c>
      <c r="D209" s="7">
        <f t="shared" si="11"/>
        <v>2020</v>
      </c>
      <c r="E209" s="7" t="str">
        <f t="shared" si="9"/>
        <v>Q3</v>
      </c>
      <c r="F209" t="str">
        <f t="shared" si="10"/>
        <v>COVID</v>
      </c>
    </row>
    <row r="210" spans="1:6" x14ac:dyDescent="0.3">
      <c r="A210" t="s">
        <v>84</v>
      </c>
      <c r="B210" t="s">
        <v>49</v>
      </c>
      <c r="C210">
        <v>27513</v>
      </c>
      <c r="D210" s="7">
        <f t="shared" si="11"/>
        <v>2020</v>
      </c>
      <c r="E210" s="7" t="str">
        <f t="shared" si="9"/>
        <v>Q3</v>
      </c>
      <c r="F210" t="str">
        <f t="shared" si="10"/>
        <v>COVID</v>
      </c>
    </row>
    <row r="211" spans="1:6" x14ac:dyDescent="0.3">
      <c r="A211" t="s">
        <v>84</v>
      </c>
      <c r="B211" t="s">
        <v>50</v>
      </c>
      <c r="C211">
        <v>45505</v>
      </c>
      <c r="D211" s="7">
        <f t="shared" si="11"/>
        <v>2020</v>
      </c>
      <c r="E211" s="7" t="str">
        <f t="shared" si="9"/>
        <v>Q3</v>
      </c>
      <c r="F211" t="str">
        <f t="shared" si="10"/>
        <v>COVID</v>
      </c>
    </row>
    <row r="212" spans="1:6" x14ac:dyDescent="0.3">
      <c r="A212" t="s">
        <v>85</v>
      </c>
      <c r="B212" t="s">
        <v>45</v>
      </c>
      <c r="C212">
        <v>759119</v>
      </c>
      <c r="D212" s="7">
        <f t="shared" si="11"/>
        <v>2020</v>
      </c>
      <c r="E212" s="7" t="str">
        <f t="shared" si="9"/>
        <v>Q4</v>
      </c>
      <c r="F212" t="str">
        <f t="shared" si="10"/>
        <v>COVID</v>
      </c>
    </row>
    <row r="213" spans="1:6" x14ac:dyDescent="0.3">
      <c r="A213" t="s">
        <v>85</v>
      </c>
      <c r="B213" t="s">
        <v>46</v>
      </c>
      <c r="C213">
        <v>31461</v>
      </c>
      <c r="D213" s="7">
        <f t="shared" si="11"/>
        <v>2020</v>
      </c>
      <c r="E213" s="7" t="str">
        <f t="shared" si="9"/>
        <v>Q4</v>
      </c>
      <c r="F213" t="str">
        <f t="shared" si="10"/>
        <v>COVID</v>
      </c>
    </row>
    <row r="214" spans="1:6" x14ac:dyDescent="0.3">
      <c r="A214" t="s">
        <v>85</v>
      </c>
      <c r="B214" t="s">
        <v>47</v>
      </c>
      <c r="C214">
        <v>702109</v>
      </c>
      <c r="D214" s="7">
        <f t="shared" si="11"/>
        <v>2020</v>
      </c>
      <c r="E214" s="7" t="str">
        <f t="shared" si="9"/>
        <v>Q4</v>
      </c>
      <c r="F214" t="str">
        <f t="shared" si="10"/>
        <v>COVID</v>
      </c>
    </row>
    <row r="215" spans="1:6" x14ac:dyDescent="0.3">
      <c r="A215" t="s">
        <v>85</v>
      </c>
      <c r="B215" t="s">
        <v>48</v>
      </c>
      <c r="C215">
        <v>6420</v>
      </c>
      <c r="D215" s="7">
        <f t="shared" si="11"/>
        <v>2020</v>
      </c>
      <c r="E215" s="7" t="str">
        <f t="shared" si="9"/>
        <v>Q4</v>
      </c>
      <c r="F215" t="str">
        <f t="shared" si="10"/>
        <v>COVID</v>
      </c>
    </row>
    <row r="216" spans="1:6" x14ac:dyDescent="0.3">
      <c r="A216" t="s">
        <v>85</v>
      </c>
      <c r="B216" t="s">
        <v>49</v>
      </c>
      <c r="C216">
        <v>7048</v>
      </c>
      <c r="D216" s="7">
        <f t="shared" si="11"/>
        <v>2020</v>
      </c>
      <c r="E216" s="7" t="str">
        <f t="shared" si="9"/>
        <v>Q4</v>
      </c>
      <c r="F216" t="str">
        <f t="shared" si="10"/>
        <v>COVID</v>
      </c>
    </row>
    <row r="217" spans="1:6" x14ac:dyDescent="0.3">
      <c r="A217" t="s">
        <v>85</v>
      </c>
      <c r="B217" t="s">
        <v>50</v>
      </c>
      <c r="C217">
        <v>12081</v>
      </c>
      <c r="D217" s="7">
        <f t="shared" si="11"/>
        <v>2020</v>
      </c>
      <c r="E217" s="7" t="str">
        <f t="shared" si="9"/>
        <v>Q4</v>
      </c>
      <c r="F217" t="str">
        <f t="shared" si="10"/>
        <v>COVID</v>
      </c>
    </row>
    <row r="218" spans="1:6" x14ac:dyDescent="0.3">
      <c r="A218" t="s">
        <v>86</v>
      </c>
      <c r="B218" t="s">
        <v>45</v>
      </c>
      <c r="C218">
        <v>418969</v>
      </c>
      <c r="D218" s="7">
        <f t="shared" si="11"/>
        <v>2021</v>
      </c>
      <c r="E218" s="7" t="str">
        <f t="shared" si="9"/>
        <v>Q1</v>
      </c>
      <c r="F218" t="str">
        <f t="shared" si="10"/>
        <v>COVID</v>
      </c>
    </row>
    <row r="219" spans="1:6" x14ac:dyDescent="0.3">
      <c r="A219" t="s">
        <v>86</v>
      </c>
      <c r="B219" t="s">
        <v>46</v>
      </c>
      <c r="C219">
        <v>8926</v>
      </c>
      <c r="D219" s="7">
        <f t="shared" si="11"/>
        <v>2021</v>
      </c>
      <c r="E219" s="7" t="str">
        <f t="shared" si="9"/>
        <v>Q1</v>
      </c>
      <c r="F219" t="str">
        <f t="shared" si="10"/>
        <v>COVID</v>
      </c>
    </row>
    <row r="220" spans="1:6" x14ac:dyDescent="0.3">
      <c r="A220" t="s">
        <v>86</v>
      </c>
      <c r="B220" t="s">
        <v>47</v>
      </c>
      <c r="C220">
        <v>405112</v>
      </c>
      <c r="D220" s="7">
        <f t="shared" si="11"/>
        <v>2021</v>
      </c>
      <c r="E220" s="7" t="str">
        <f t="shared" si="9"/>
        <v>Q1</v>
      </c>
      <c r="F220" t="str">
        <f t="shared" si="10"/>
        <v>COVID</v>
      </c>
    </row>
    <row r="221" spans="1:6" x14ac:dyDescent="0.3">
      <c r="A221" t="s">
        <v>86</v>
      </c>
      <c r="B221" t="s">
        <v>48</v>
      </c>
      <c r="C221">
        <v>1988</v>
      </c>
      <c r="D221" s="7">
        <f t="shared" si="11"/>
        <v>2021</v>
      </c>
      <c r="E221" s="7" t="str">
        <f t="shared" si="9"/>
        <v>Q1</v>
      </c>
      <c r="F221" t="str">
        <f t="shared" si="10"/>
        <v>COVID</v>
      </c>
    </row>
    <row r="222" spans="1:6" x14ac:dyDescent="0.3">
      <c r="A222" t="s">
        <v>86</v>
      </c>
      <c r="B222" t="s">
        <v>49</v>
      </c>
      <c r="C222">
        <v>621</v>
      </c>
      <c r="D222" s="7">
        <f t="shared" si="11"/>
        <v>2021</v>
      </c>
      <c r="E222" s="7" t="str">
        <f t="shared" si="9"/>
        <v>Q1</v>
      </c>
      <c r="F222" t="str">
        <f t="shared" si="10"/>
        <v>COVID</v>
      </c>
    </row>
    <row r="223" spans="1:6" x14ac:dyDescent="0.3">
      <c r="A223" t="s">
        <v>86</v>
      </c>
      <c r="B223" t="s">
        <v>50</v>
      </c>
      <c r="C223">
        <v>2322</v>
      </c>
      <c r="D223" s="7">
        <f t="shared" si="11"/>
        <v>2021</v>
      </c>
      <c r="E223" s="7" t="str">
        <f t="shared" si="9"/>
        <v>Q1</v>
      </c>
      <c r="F223" t="str">
        <f t="shared" si="10"/>
        <v>COVID</v>
      </c>
    </row>
    <row r="224" spans="1:6" x14ac:dyDescent="0.3">
      <c r="A224" t="s">
        <v>87</v>
      </c>
      <c r="B224" t="s">
        <v>45</v>
      </c>
      <c r="C224">
        <v>596349</v>
      </c>
      <c r="D224" s="7">
        <f t="shared" si="11"/>
        <v>2021</v>
      </c>
      <c r="E224" s="7" t="str">
        <f t="shared" si="9"/>
        <v>Q2</v>
      </c>
      <c r="F224" t="str">
        <f t="shared" si="10"/>
        <v>COVID</v>
      </c>
    </row>
    <row r="225" spans="1:6" x14ac:dyDescent="0.3">
      <c r="A225" t="s">
        <v>87</v>
      </c>
      <c r="B225" t="s">
        <v>46</v>
      </c>
      <c r="C225">
        <v>24931</v>
      </c>
      <c r="D225" s="7">
        <f t="shared" si="11"/>
        <v>2021</v>
      </c>
      <c r="E225" s="7" t="str">
        <f t="shared" si="9"/>
        <v>Q2</v>
      </c>
      <c r="F225" t="str">
        <f t="shared" si="10"/>
        <v>COVID</v>
      </c>
    </row>
    <row r="226" spans="1:6" x14ac:dyDescent="0.3">
      <c r="A226" t="s">
        <v>87</v>
      </c>
      <c r="B226" t="s">
        <v>47</v>
      </c>
      <c r="C226">
        <v>554749</v>
      </c>
      <c r="D226" s="7">
        <f t="shared" si="11"/>
        <v>2021</v>
      </c>
      <c r="E226" s="7" t="str">
        <f t="shared" si="9"/>
        <v>Q2</v>
      </c>
      <c r="F226" t="str">
        <f t="shared" si="10"/>
        <v>COVID</v>
      </c>
    </row>
    <row r="227" spans="1:6" x14ac:dyDescent="0.3">
      <c r="A227" t="s">
        <v>87</v>
      </c>
      <c r="B227" t="s">
        <v>48</v>
      </c>
      <c r="C227">
        <v>4301</v>
      </c>
      <c r="D227" s="7">
        <f t="shared" si="11"/>
        <v>2021</v>
      </c>
      <c r="E227" s="7" t="str">
        <f t="shared" si="9"/>
        <v>Q2</v>
      </c>
      <c r="F227" t="str">
        <f t="shared" si="10"/>
        <v>COVID</v>
      </c>
    </row>
    <row r="228" spans="1:6" x14ac:dyDescent="0.3">
      <c r="A228" t="s">
        <v>87</v>
      </c>
      <c r="B228" t="s">
        <v>49</v>
      </c>
      <c r="C228">
        <v>2079</v>
      </c>
      <c r="D228" s="7">
        <f t="shared" si="11"/>
        <v>2021</v>
      </c>
      <c r="E228" s="7" t="str">
        <f t="shared" si="9"/>
        <v>Q2</v>
      </c>
      <c r="F228" t="str">
        <f t="shared" si="10"/>
        <v>COVID</v>
      </c>
    </row>
    <row r="229" spans="1:6" x14ac:dyDescent="0.3">
      <c r="A229" t="s">
        <v>87</v>
      </c>
      <c r="B229" t="s">
        <v>50</v>
      </c>
      <c r="C229">
        <v>10289</v>
      </c>
      <c r="D229" s="7">
        <f t="shared" si="11"/>
        <v>2021</v>
      </c>
      <c r="E229" s="7" t="str">
        <f t="shared" si="9"/>
        <v>Q2</v>
      </c>
      <c r="F229" t="str">
        <f t="shared" si="10"/>
        <v>COVID</v>
      </c>
    </row>
    <row r="230" spans="1:6" x14ac:dyDescent="0.3">
      <c r="A230" t="s">
        <v>88</v>
      </c>
      <c r="B230" t="s">
        <v>45</v>
      </c>
      <c r="C230">
        <v>3576508</v>
      </c>
      <c r="D230" s="7">
        <f t="shared" si="11"/>
        <v>2021</v>
      </c>
      <c r="E230" s="7" t="str">
        <f t="shared" si="9"/>
        <v>Q3</v>
      </c>
      <c r="F230" t="str">
        <f t="shared" si="10"/>
        <v>COVID</v>
      </c>
    </row>
    <row r="231" spans="1:6" x14ac:dyDescent="0.3">
      <c r="A231" t="s">
        <v>88</v>
      </c>
      <c r="B231" t="s">
        <v>46</v>
      </c>
      <c r="C231">
        <v>133809</v>
      </c>
      <c r="D231" s="7">
        <f t="shared" si="11"/>
        <v>2021</v>
      </c>
      <c r="E231" s="7" t="str">
        <f t="shared" si="9"/>
        <v>Q3</v>
      </c>
      <c r="F231" t="str">
        <f t="shared" si="10"/>
        <v>COVID</v>
      </c>
    </row>
    <row r="232" spans="1:6" x14ac:dyDescent="0.3">
      <c r="A232" t="s">
        <v>88</v>
      </c>
      <c r="B232" t="s">
        <v>47</v>
      </c>
      <c r="C232">
        <v>3202834</v>
      </c>
      <c r="D232" s="7">
        <f t="shared" si="11"/>
        <v>2021</v>
      </c>
      <c r="E232" s="7" t="str">
        <f t="shared" si="9"/>
        <v>Q3</v>
      </c>
      <c r="F232" t="str">
        <f t="shared" si="10"/>
        <v>COVID</v>
      </c>
    </row>
    <row r="233" spans="1:6" x14ac:dyDescent="0.3">
      <c r="A233" t="s">
        <v>88</v>
      </c>
      <c r="B233" t="s">
        <v>48</v>
      </c>
      <c r="C233">
        <v>45426</v>
      </c>
      <c r="D233" s="7">
        <f t="shared" si="11"/>
        <v>2021</v>
      </c>
      <c r="E233" s="7" t="str">
        <f t="shared" si="9"/>
        <v>Q3</v>
      </c>
      <c r="F233" t="str">
        <f t="shared" si="10"/>
        <v>COVID</v>
      </c>
    </row>
    <row r="234" spans="1:6" x14ac:dyDescent="0.3">
      <c r="A234" t="s">
        <v>88</v>
      </c>
      <c r="B234" t="s">
        <v>49</v>
      </c>
      <c r="C234">
        <v>69145</v>
      </c>
      <c r="D234" s="7">
        <f t="shared" si="11"/>
        <v>2021</v>
      </c>
      <c r="E234" s="7" t="str">
        <f t="shared" si="9"/>
        <v>Q3</v>
      </c>
      <c r="F234" t="str">
        <f t="shared" si="10"/>
        <v>COVID</v>
      </c>
    </row>
    <row r="235" spans="1:6" x14ac:dyDescent="0.3">
      <c r="A235" t="s">
        <v>88</v>
      </c>
      <c r="B235" t="s">
        <v>50</v>
      </c>
      <c r="C235">
        <v>125294</v>
      </c>
      <c r="D235" s="7">
        <f t="shared" si="11"/>
        <v>2021</v>
      </c>
      <c r="E235" s="7" t="str">
        <f t="shared" si="9"/>
        <v>Q3</v>
      </c>
      <c r="F235" t="str">
        <f t="shared" si="10"/>
        <v>COVID</v>
      </c>
    </row>
    <row r="236" spans="1:6" x14ac:dyDescent="0.3">
      <c r="A236" t="s">
        <v>89</v>
      </c>
      <c r="B236" t="s">
        <v>45</v>
      </c>
      <c r="C236">
        <v>4541051</v>
      </c>
      <c r="D236" s="7">
        <f t="shared" si="11"/>
        <v>2021</v>
      </c>
      <c r="E236" s="7" t="str">
        <f t="shared" si="9"/>
        <v>Q4</v>
      </c>
      <c r="F236" t="str">
        <f t="shared" si="10"/>
        <v>COVID</v>
      </c>
    </row>
    <row r="237" spans="1:6" x14ac:dyDescent="0.3">
      <c r="A237" t="s">
        <v>89</v>
      </c>
      <c r="B237" t="s">
        <v>46</v>
      </c>
      <c r="C237">
        <v>87349</v>
      </c>
      <c r="D237" s="7">
        <f t="shared" si="11"/>
        <v>2021</v>
      </c>
      <c r="E237" s="7" t="str">
        <f t="shared" si="9"/>
        <v>Q4</v>
      </c>
      <c r="F237" t="str">
        <f t="shared" si="10"/>
        <v>COVID</v>
      </c>
    </row>
    <row r="238" spans="1:6" x14ac:dyDescent="0.3">
      <c r="A238" t="s">
        <v>89</v>
      </c>
      <c r="B238" t="s">
        <v>47</v>
      </c>
      <c r="C238">
        <v>4103576</v>
      </c>
      <c r="D238" s="7">
        <f t="shared" si="11"/>
        <v>2021</v>
      </c>
      <c r="E238" s="7" t="str">
        <f t="shared" si="9"/>
        <v>Q4</v>
      </c>
      <c r="F238" t="str">
        <f t="shared" si="10"/>
        <v>COVID</v>
      </c>
    </row>
    <row r="239" spans="1:6" x14ac:dyDescent="0.3">
      <c r="A239" t="s">
        <v>89</v>
      </c>
      <c r="B239" t="s">
        <v>48</v>
      </c>
      <c r="C239">
        <v>63683</v>
      </c>
      <c r="D239" s="7">
        <f t="shared" si="11"/>
        <v>2021</v>
      </c>
      <c r="E239" s="7" t="str">
        <f t="shared" si="9"/>
        <v>Q4</v>
      </c>
      <c r="F239" t="str">
        <f t="shared" si="10"/>
        <v>COVID</v>
      </c>
    </row>
    <row r="240" spans="1:6" x14ac:dyDescent="0.3">
      <c r="A240" t="s">
        <v>89</v>
      </c>
      <c r="B240" t="s">
        <v>49</v>
      </c>
      <c r="C240">
        <v>102186</v>
      </c>
      <c r="D240" s="7">
        <f t="shared" si="11"/>
        <v>2021</v>
      </c>
      <c r="E240" s="7" t="str">
        <f t="shared" si="9"/>
        <v>Q4</v>
      </c>
      <c r="F240" t="str">
        <f t="shared" si="10"/>
        <v>COVID</v>
      </c>
    </row>
    <row r="241" spans="1:6" x14ac:dyDescent="0.3">
      <c r="A241" t="s">
        <v>89</v>
      </c>
      <c r="B241" t="s">
        <v>50</v>
      </c>
      <c r="C241">
        <v>184257</v>
      </c>
      <c r="D241" s="7">
        <f t="shared" si="11"/>
        <v>2021</v>
      </c>
      <c r="E241" s="7" t="str">
        <f t="shared" si="9"/>
        <v>Q4</v>
      </c>
      <c r="F241" t="str">
        <f t="shared" si="10"/>
        <v>COVID</v>
      </c>
    </row>
    <row r="242" spans="1:6" x14ac:dyDescent="0.3">
      <c r="A242" t="s">
        <v>90</v>
      </c>
      <c r="B242" t="s">
        <v>45</v>
      </c>
      <c r="C242">
        <v>4700322</v>
      </c>
      <c r="D242" s="7">
        <f t="shared" si="11"/>
        <v>2022</v>
      </c>
      <c r="E242" s="7" t="str">
        <f t="shared" si="9"/>
        <v>Q1</v>
      </c>
      <c r="F242" t="str">
        <f t="shared" si="10"/>
        <v>Post-COVID</v>
      </c>
    </row>
    <row r="243" spans="1:6" x14ac:dyDescent="0.3">
      <c r="A243" t="s">
        <v>90</v>
      </c>
      <c r="B243" t="s">
        <v>46</v>
      </c>
      <c r="C243">
        <v>288323</v>
      </c>
      <c r="D243" s="7">
        <f t="shared" si="11"/>
        <v>2022</v>
      </c>
      <c r="E243" s="7" t="str">
        <f t="shared" si="9"/>
        <v>Q1</v>
      </c>
      <c r="F243" t="str">
        <f t="shared" si="10"/>
        <v>Post-COVID</v>
      </c>
    </row>
    <row r="244" spans="1:6" x14ac:dyDescent="0.3">
      <c r="A244" t="s">
        <v>90</v>
      </c>
      <c r="B244" t="s">
        <v>47</v>
      </c>
      <c r="C244">
        <v>4099571</v>
      </c>
      <c r="D244" s="7">
        <f t="shared" si="11"/>
        <v>2022</v>
      </c>
      <c r="E244" s="7" t="str">
        <f t="shared" si="9"/>
        <v>Q1</v>
      </c>
      <c r="F244" t="str">
        <f t="shared" si="10"/>
        <v>Post-COVID</v>
      </c>
    </row>
    <row r="245" spans="1:6" x14ac:dyDescent="0.3">
      <c r="A245" t="s">
        <v>90</v>
      </c>
      <c r="B245" t="s">
        <v>48</v>
      </c>
      <c r="C245">
        <v>44836</v>
      </c>
      <c r="D245" s="7">
        <f t="shared" si="11"/>
        <v>2022</v>
      </c>
      <c r="E245" s="7" t="str">
        <f t="shared" si="9"/>
        <v>Q1</v>
      </c>
      <c r="F245" t="str">
        <f t="shared" si="10"/>
        <v>Post-COVID</v>
      </c>
    </row>
    <row r="246" spans="1:6" x14ac:dyDescent="0.3">
      <c r="A246" t="s">
        <v>90</v>
      </c>
      <c r="B246" t="s">
        <v>49</v>
      </c>
      <c r="C246">
        <v>86381</v>
      </c>
      <c r="D246" s="7">
        <f t="shared" si="11"/>
        <v>2022</v>
      </c>
      <c r="E246" s="7" t="str">
        <f t="shared" si="9"/>
        <v>Q1</v>
      </c>
      <c r="F246" t="str">
        <f t="shared" si="10"/>
        <v>Post-COVID</v>
      </c>
    </row>
    <row r="247" spans="1:6" x14ac:dyDescent="0.3">
      <c r="A247" t="s">
        <v>90</v>
      </c>
      <c r="B247" t="s">
        <v>50</v>
      </c>
      <c r="C247">
        <v>181211</v>
      </c>
      <c r="D247" s="7">
        <f t="shared" si="11"/>
        <v>2022</v>
      </c>
      <c r="E247" s="7" t="str">
        <f t="shared" si="9"/>
        <v>Q1</v>
      </c>
      <c r="F247" t="str">
        <f t="shared" si="10"/>
        <v>Post-COVID</v>
      </c>
    </row>
    <row r="248" spans="1:6" x14ac:dyDescent="0.3">
      <c r="A248" t="s">
        <v>91</v>
      </c>
      <c r="B248" t="s">
        <v>45</v>
      </c>
      <c r="C248">
        <v>9134970</v>
      </c>
      <c r="D248" s="7">
        <f t="shared" si="11"/>
        <v>2022</v>
      </c>
      <c r="E248" s="7" t="str">
        <f t="shared" si="9"/>
        <v>Q2</v>
      </c>
      <c r="F248" t="str">
        <f t="shared" si="10"/>
        <v>Post-COVID</v>
      </c>
    </row>
    <row r="249" spans="1:6" x14ac:dyDescent="0.3">
      <c r="A249" t="s">
        <v>91</v>
      </c>
      <c r="B249" t="s">
        <v>46</v>
      </c>
      <c r="C249">
        <v>645215</v>
      </c>
      <c r="D249" s="7">
        <f t="shared" si="11"/>
        <v>2022</v>
      </c>
      <c r="E249" s="7" t="str">
        <f t="shared" si="9"/>
        <v>Q2</v>
      </c>
      <c r="F249" t="str">
        <f t="shared" si="10"/>
        <v>Post-COVID</v>
      </c>
    </row>
    <row r="250" spans="1:6" x14ac:dyDescent="0.3">
      <c r="A250" t="s">
        <v>91</v>
      </c>
      <c r="B250" t="s">
        <v>47</v>
      </c>
      <c r="C250">
        <v>7779695</v>
      </c>
      <c r="D250" s="7">
        <f t="shared" si="11"/>
        <v>2022</v>
      </c>
      <c r="E250" s="7" t="str">
        <f t="shared" si="9"/>
        <v>Q2</v>
      </c>
      <c r="F250" t="str">
        <f t="shared" si="10"/>
        <v>Post-COVID</v>
      </c>
    </row>
    <row r="251" spans="1:6" x14ac:dyDescent="0.3">
      <c r="A251" t="s">
        <v>91</v>
      </c>
      <c r="B251" t="s">
        <v>48</v>
      </c>
      <c r="C251">
        <v>102093</v>
      </c>
      <c r="D251" s="7">
        <f t="shared" si="11"/>
        <v>2022</v>
      </c>
      <c r="E251" s="7" t="str">
        <f t="shared" si="9"/>
        <v>Q2</v>
      </c>
      <c r="F251" t="str">
        <f t="shared" si="10"/>
        <v>Post-COVID</v>
      </c>
    </row>
    <row r="252" spans="1:6" x14ac:dyDescent="0.3">
      <c r="A252" t="s">
        <v>91</v>
      </c>
      <c r="B252" t="s">
        <v>49</v>
      </c>
      <c r="C252">
        <v>200028</v>
      </c>
      <c r="D252" s="7">
        <f t="shared" si="11"/>
        <v>2022</v>
      </c>
      <c r="E252" s="7" t="str">
        <f t="shared" si="9"/>
        <v>Q2</v>
      </c>
      <c r="F252" t="str">
        <f t="shared" si="10"/>
        <v>Post-COVID</v>
      </c>
    </row>
    <row r="253" spans="1:6" x14ac:dyDescent="0.3">
      <c r="A253" t="s">
        <v>91</v>
      </c>
      <c r="B253" t="s">
        <v>50</v>
      </c>
      <c r="C253">
        <v>407939</v>
      </c>
      <c r="D253" s="7">
        <f t="shared" si="11"/>
        <v>2022</v>
      </c>
      <c r="E253" s="7" t="str">
        <f t="shared" si="9"/>
        <v>Q2</v>
      </c>
      <c r="F253" t="str">
        <f t="shared" si="10"/>
        <v>Post-COVID</v>
      </c>
    </row>
    <row r="254" spans="1:6" x14ac:dyDescent="0.3">
      <c r="A254" t="s">
        <v>92</v>
      </c>
      <c r="B254" t="s">
        <v>45</v>
      </c>
      <c r="C254">
        <v>10444239</v>
      </c>
      <c r="D254" s="7">
        <f t="shared" si="11"/>
        <v>2022</v>
      </c>
      <c r="E254" s="7" t="str">
        <f t="shared" si="9"/>
        <v>Q3</v>
      </c>
      <c r="F254" t="str">
        <f t="shared" si="10"/>
        <v>Post-COVID</v>
      </c>
    </row>
    <row r="255" spans="1:6" x14ac:dyDescent="0.3">
      <c r="A255" t="s">
        <v>92</v>
      </c>
      <c r="B255" t="s">
        <v>46</v>
      </c>
      <c r="C255">
        <v>767806</v>
      </c>
      <c r="D255" s="7">
        <f t="shared" si="11"/>
        <v>2022</v>
      </c>
      <c r="E255" s="7" t="str">
        <f t="shared" si="9"/>
        <v>Q3</v>
      </c>
      <c r="F255" t="str">
        <f t="shared" si="10"/>
        <v>Post-COVID</v>
      </c>
    </row>
    <row r="256" spans="1:6" x14ac:dyDescent="0.3">
      <c r="A256" t="s">
        <v>92</v>
      </c>
      <c r="B256" t="s">
        <v>47</v>
      </c>
      <c r="C256">
        <v>8840733</v>
      </c>
      <c r="D256" s="7">
        <f t="shared" si="11"/>
        <v>2022</v>
      </c>
      <c r="E256" s="7" t="str">
        <f t="shared" si="9"/>
        <v>Q3</v>
      </c>
      <c r="F256" t="str">
        <f t="shared" si="10"/>
        <v>Post-COVID</v>
      </c>
    </row>
    <row r="257" spans="1:6" x14ac:dyDescent="0.3">
      <c r="A257" t="s">
        <v>92</v>
      </c>
      <c r="B257" t="s">
        <v>48</v>
      </c>
      <c r="C257">
        <v>118069</v>
      </c>
      <c r="D257" s="7">
        <f t="shared" si="11"/>
        <v>2022</v>
      </c>
      <c r="E257" s="7" t="str">
        <f t="shared" si="9"/>
        <v>Q3</v>
      </c>
      <c r="F257" t="str">
        <f t="shared" si="10"/>
        <v>Post-COVID</v>
      </c>
    </row>
    <row r="258" spans="1:6" x14ac:dyDescent="0.3">
      <c r="A258" t="s">
        <v>92</v>
      </c>
      <c r="B258" t="s">
        <v>49</v>
      </c>
      <c r="C258">
        <v>252595</v>
      </c>
      <c r="D258" s="7">
        <f t="shared" si="11"/>
        <v>2022</v>
      </c>
      <c r="E258" s="7" t="str">
        <f t="shared" ref="E258:E321" si="12">RIGHT(A258,2)</f>
        <v>Q3</v>
      </c>
      <c r="F258" t="str">
        <f t="shared" ref="F258:F321" si="13">IF(D258&lt;=2019,"Pre-COVID",IF(D258&lt;=2021,"COVID","Post-COVID"))</f>
        <v>Post-COVID</v>
      </c>
    </row>
    <row r="259" spans="1:6" x14ac:dyDescent="0.3">
      <c r="A259" t="s">
        <v>92</v>
      </c>
      <c r="B259" t="s">
        <v>50</v>
      </c>
      <c r="C259">
        <v>465036</v>
      </c>
      <c r="D259" s="7">
        <f t="shared" ref="D259:D322" si="14">VALUE(LEFT(A259,4))</f>
        <v>2022</v>
      </c>
      <c r="E259" s="7" t="str">
        <f t="shared" si="12"/>
        <v>Q3</v>
      </c>
      <c r="F259" t="str">
        <f t="shared" si="13"/>
        <v>Post-COVID</v>
      </c>
    </row>
    <row r="260" spans="1:6" x14ac:dyDescent="0.3">
      <c r="A260" t="s">
        <v>93</v>
      </c>
      <c r="B260" t="s">
        <v>45</v>
      </c>
      <c r="C260">
        <v>8238809</v>
      </c>
      <c r="D260" s="7">
        <f t="shared" si="14"/>
        <v>2022</v>
      </c>
      <c r="E260" s="7" t="str">
        <f t="shared" si="12"/>
        <v>Q4</v>
      </c>
      <c r="F260" t="str">
        <f t="shared" si="13"/>
        <v>Post-COVID</v>
      </c>
    </row>
    <row r="261" spans="1:6" x14ac:dyDescent="0.3">
      <c r="A261" t="s">
        <v>93</v>
      </c>
      <c r="B261" t="s">
        <v>46</v>
      </c>
      <c r="C261">
        <v>537111</v>
      </c>
      <c r="D261" s="7">
        <f t="shared" si="14"/>
        <v>2022</v>
      </c>
      <c r="E261" s="7" t="str">
        <f t="shared" si="12"/>
        <v>Q4</v>
      </c>
      <c r="F261" t="str">
        <f t="shared" si="13"/>
        <v>Post-COVID</v>
      </c>
    </row>
    <row r="262" spans="1:6" x14ac:dyDescent="0.3">
      <c r="A262" t="s">
        <v>93</v>
      </c>
      <c r="B262" t="s">
        <v>47</v>
      </c>
      <c r="C262">
        <v>7073346</v>
      </c>
      <c r="D262" s="7">
        <f t="shared" si="14"/>
        <v>2022</v>
      </c>
      <c r="E262" s="7" t="str">
        <f t="shared" si="12"/>
        <v>Q4</v>
      </c>
      <c r="F262" t="str">
        <f t="shared" si="13"/>
        <v>Post-COVID</v>
      </c>
    </row>
    <row r="263" spans="1:6" x14ac:dyDescent="0.3">
      <c r="A263" t="s">
        <v>93</v>
      </c>
      <c r="B263" t="s">
        <v>48</v>
      </c>
      <c r="C263">
        <v>90045</v>
      </c>
      <c r="D263" s="7">
        <f t="shared" si="14"/>
        <v>2022</v>
      </c>
      <c r="E263" s="7" t="str">
        <f t="shared" si="12"/>
        <v>Q4</v>
      </c>
      <c r="F263" t="str">
        <f t="shared" si="13"/>
        <v>Post-COVID</v>
      </c>
    </row>
    <row r="264" spans="1:6" x14ac:dyDescent="0.3">
      <c r="A264" t="s">
        <v>93</v>
      </c>
      <c r="B264" t="s">
        <v>49</v>
      </c>
      <c r="C264">
        <v>170536</v>
      </c>
      <c r="D264" s="7">
        <f t="shared" si="14"/>
        <v>2022</v>
      </c>
      <c r="E264" s="7" t="str">
        <f t="shared" si="12"/>
        <v>Q4</v>
      </c>
      <c r="F264" t="str">
        <f t="shared" si="13"/>
        <v>Post-COVID</v>
      </c>
    </row>
    <row r="265" spans="1:6" x14ac:dyDescent="0.3">
      <c r="A265" t="s">
        <v>93</v>
      </c>
      <c r="B265" t="s">
        <v>50</v>
      </c>
      <c r="C265">
        <v>367771</v>
      </c>
      <c r="D265" s="7">
        <f t="shared" si="14"/>
        <v>2022</v>
      </c>
      <c r="E265" s="7" t="str">
        <f t="shared" si="12"/>
        <v>Q4</v>
      </c>
      <c r="F265" t="str">
        <f t="shared" si="13"/>
        <v>Post-COVID</v>
      </c>
    </row>
    <row r="266" spans="1:6" x14ac:dyDescent="0.3">
      <c r="A266" t="s">
        <v>94</v>
      </c>
      <c r="B266" t="s">
        <v>45</v>
      </c>
      <c r="C266">
        <v>7622484</v>
      </c>
      <c r="D266" s="7">
        <f t="shared" si="14"/>
        <v>2023</v>
      </c>
      <c r="E266" s="7" t="str">
        <f t="shared" si="12"/>
        <v>Q1</v>
      </c>
      <c r="F266" t="str">
        <f t="shared" si="13"/>
        <v>Post-COVID</v>
      </c>
    </row>
    <row r="267" spans="1:6" x14ac:dyDescent="0.3">
      <c r="A267" t="s">
        <v>94</v>
      </c>
      <c r="B267" t="s">
        <v>46</v>
      </c>
      <c r="C267">
        <v>499021</v>
      </c>
      <c r="D267" s="7">
        <f t="shared" si="14"/>
        <v>2023</v>
      </c>
      <c r="E267" s="7" t="str">
        <f t="shared" si="12"/>
        <v>Q1</v>
      </c>
      <c r="F267" t="str">
        <f t="shared" si="13"/>
        <v>Post-COVID</v>
      </c>
    </row>
    <row r="268" spans="1:6" x14ac:dyDescent="0.3">
      <c r="A268" t="s">
        <v>94</v>
      </c>
      <c r="B268" t="s">
        <v>47</v>
      </c>
      <c r="C268">
        <v>6589966</v>
      </c>
      <c r="D268" s="7">
        <f t="shared" si="14"/>
        <v>2023</v>
      </c>
      <c r="E268" s="7" t="str">
        <f t="shared" si="12"/>
        <v>Q1</v>
      </c>
      <c r="F268" t="str">
        <f t="shared" si="13"/>
        <v>Post-COVID</v>
      </c>
    </row>
    <row r="269" spans="1:6" x14ac:dyDescent="0.3">
      <c r="A269" t="s">
        <v>94</v>
      </c>
      <c r="B269" t="s">
        <v>48</v>
      </c>
      <c r="C269">
        <v>72347</v>
      </c>
      <c r="D269" s="7">
        <f t="shared" si="14"/>
        <v>2023</v>
      </c>
      <c r="E269" s="7" t="str">
        <f t="shared" si="12"/>
        <v>Q1</v>
      </c>
      <c r="F269" t="str">
        <f t="shared" si="13"/>
        <v>Post-COVID</v>
      </c>
    </row>
    <row r="270" spans="1:6" x14ac:dyDescent="0.3">
      <c r="A270" t="s">
        <v>94</v>
      </c>
      <c r="B270" t="s">
        <v>49</v>
      </c>
      <c r="C270">
        <v>132657</v>
      </c>
      <c r="D270" s="7">
        <f t="shared" si="14"/>
        <v>2023</v>
      </c>
      <c r="E270" s="7" t="str">
        <f t="shared" si="12"/>
        <v>Q1</v>
      </c>
      <c r="F270" t="str">
        <f t="shared" si="13"/>
        <v>Post-COVID</v>
      </c>
    </row>
    <row r="271" spans="1:6" x14ac:dyDescent="0.3">
      <c r="A271" t="s">
        <v>94</v>
      </c>
      <c r="B271" t="s">
        <v>50</v>
      </c>
      <c r="C271">
        <v>328493</v>
      </c>
      <c r="D271" s="7">
        <f t="shared" si="14"/>
        <v>2023</v>
      </c>
      <c r="E271" s="7" t="str">
        <f t="shared" si="12"/>
        <v>Q1</v>
      </c>
      <c r="F271" t="str">
        <f t="shared" si="13"/>
        <v>Post-COVID</v>
      </c>
    </row>
    <row r="272" spans="1:6" x14ac:dyDescent="0.3">
      <c r="A272" t="s">
        <v>95</v>
      </c>
      <c r="B272" t="s">
        <v>45</v>
      </c>
      <c r="C272">
        <v>10744701</v>
      </c>
      <c r="D272" s="7">
        <f t="shared" si="14"/>
        <v>2023</v>
      </c>
      <c r="E272" s="7" t="str">
        <f t="shared" si="12"/>
        <v>Q2</v>
      </c>
      <c r="F272" t="str">
        <f t="shared" si="13"/>
        <v>Post-COVID</v>
      </c>
    </row>
    <row r="273" spans="1:6" x14ac:dyDescent="0.3">
      <c r="A273" t="s">
        <v>95</v>
      </c>
      <c r="B273" t="s">
        <v>46</v>
      </c>
      <c r="C273">
        <v>791720</v>
      </c>
      <c r="D273" s="7">
        <f t="shared" si="14"/>
        <v>2023</v>
      </c>
      <c r="E273" s="7" t="str">
        <f t="shared" si="12"/>
        <v>Q2</v>
      </c>
      <c r="F273" t="str">
        <f t="shared" si="13"/>
        <v>Post-COVID</v>
      </c>
    </row>
    <row r="274" spans="1:6" x14ac:dyDescent="0.3">
      <c r="A274" t="s">
        <v>95</v>
      </c>
      <c r="B274" t="s">
        <v>47</v>
      </c>
      <c r="C274">
        <v>9058940</v>
      </c>
      <c r="D274" s="7">
        <f t="shared" si="14"/>
        <v>2023</v>
      </c>
      <c r="E274" s="7" t="str">
        <f t="shared" si="12"/>
        <v>Q2</v>
      </c>
      <c r="F274" t="str">
        <f t="shared" si="13"/>
        <v>Post-COVID</v>
      </c>
    </row>
    <row r="275" spans="1:6" x14ac:dyDescent="0.3">
      <c r="A275" t="s">
        <v>95</v>
      </c>
      <c r="B275" t="s">
        <v>48</v>
      </c>
      <c r="C275">
        <v>117608</v>
      </c>
      <c r="D275" s="7">
        <f t="shared" si="14"/>
        <v>2023</v>
      </c>
      <c r="E275" s="7" t="str">
        <f t="shared" si="12"/>
        <v>Q2</v>
      </c>
      <c r="F275" t="str">
        <f t="shared" si="13"/>
        <v>Post-COVID</v>
      </c>
    </row>
    <row r="276" spans="1:6" x14ac:dyDescent="0.3">
      <c r="A276" t="s">
        <v>95</v>
      </c>
      <c r="B276" t="s">
        <v>49</v>
      </c>
      <c r="C276">
        <v>230010</v>
      </c>
      <c r="D276" s="7">
        <f t="shared" si="14"/>
        <v>2023</v>
      </c>
      <c r="E276" s="7" t="str">
        <f t="shared" si="12"/>
        <v>Q2</v>
      </c>
      <c r="F276" t="str">
        <f t="shared" si="13"/>
        <v>Post-COVID</v>
      </c>
    </row>
    <row r="277" spans="1:6" x14ac:dyDescent="0.3">
      <c r="A277" t="s">
        <v>95</v>
      </c>
      <c r="B277" t="s">
        <v>50</v>
      </c>
      <c r="C277">
        <v>546423</v>
      </c>
      <c r="D277" s="7">
        <f t="shared" si="14"/>
        <v>2023</v>
      </c>
      <c r="E277" s="7" t="str">
        <f t="shared" si="12"/>
        <v>Q2</v>
      </c>
      <c r="F277" t="str">
        <f t="shared" si="13"/>
        <v>Post-COVID</v>
      </c>
    </row>
    <row r="278" spans="1:6" x14ac:dyDescent="0.3">
      <c r="A278" t="s">
        <v>96</v>
      </c>
      <c r="B278" t="s">
        <v>45</v>
      </c>
      <c r="C278">
        <v>11799615</v>
      </c>
      <c r="D278" s="7">
        <f t="shared" si="14"/>
        <v>2023</v>
      </c>
      <c r="E278" s="7" t="str">
        <f t="shared" si="12"/>
        <v>Q3</v>
      </c>
      <c r="F278" t="str">
        <f t="shared" si="13"/>
        <v>Post-COVID</v>
      </c>
    </row>
    <row r="279" spans="1:6" x14ac:dyDescent="0.3">
      <c r="A279" t="s">
        <v>96</v>
      </c>
      <c r="B279" t="s">
        <v>46</v>
      </c>
      <c r="C279">
        <v>866942</v>
      </c>
      <c r="D279" s="7">
        <f t="shared" si="14"/>
        <v>2023</v>
      </c>
      <c r="E279" s="7" t="str">
        <f t="shared" si="12"/>
        <v>Q3</v>
      </c>
      <c r="F279" t="str">
        <f t="shared" si="13"/>
        <v>Post-COVID</v>
      </c>
    </row>
    <row r="280" spans="1:6" x14ac:dyDescent="0.3">
      <c r="A280" t="s">
        <v>96</v>
      </c>
      <c r="B280" t="s">
        <v>47</v>
      </c>
      <c r="C280">
        <v>9929211</v>
      </c>
      <c r="D280" s="7">
        <f t="shared" si="14"/>
        <v>2023</v>
      </c>
      <c r="E280" s="7" t="str">
        <f t="shared" si="12"/>
        <v>Q3</v>
      </c>
      <c r="F280" t="str">
        <f t="shared" si="13"/>
        <v>Post-COVID</v>
      </c>
    </row>
    <row r="281" spans="1:6" x14ac:dyDescent="0.3">
      <c r="A281" t="s">
        <v>96</v>
      </c>
      <c r="B281" t="s">
        <v>48</v>
      </c>
      <c r="C281">
        <v>133729</v>
      </c>
      <c r="D281" s="7">
        <f t="shared" si="14"/>
        <v>2023</v>
      </c>
      <c r="E281" s="7" t="str">
        <f t="shared" si="12"/>
        <v>Q3</v>
      </c>
      <c r="F281" t="str">
        <f t="shared" si="13"/>
        <v>Post-COVID</v>
      </c>
    </row>
    <row r="282" spans="1:6" x14ac:dyDescent="0.3">
      <c r="A282" t="s">
        <v>96</v>
      </c>
      <c r="B282" t="s">
        <v>49</v>
      </c>
      <c r="C282">
        <v>268345</v>
      </c>
      <c r="D282" s="7">
        <f t="shared" si="14"/>
        <v>2023</v>
      </c>
      <c r="E282" s="7" t="str">
        <f t="shared" si="12"/>
        <v>Q3</v>
      </c>
      <c r="F282" t="str">
        <f t="shared" si="13"/>
        <v>Post-COVID</v>
      </c>
    </row>
    <row r="283" spans="1:6" x14ac:dyDescent="0.3">
      <c r="A283" t="s">
        <v>96</v>
      </c>
      <c r="B283" t="s">
        <v>50</v>
      </c>
      <c r="C283">
        <v>601388</v>
      </c>
      <c r="D283" s="7">
        <f t="shared" si="14"/>
        <v>2023</v>
      </c>
      <c r="E283" s="7" t="str">
        <f t="shared" si="12"/>
        <v>Q3</v>
      </c>
      <c r="F283" t="str">
        <f t="shared" si="13"/>
        <v>Post-COVID</v>
      </c>
    </row>
    <row r="284" spans="1:6" x14ac:dyDescent="0.3">
      <c r="A284" t="s">
        <v>97</v>
      </c>
      <c r="B284" t="s">
        <v>45</v>
      </c>
      <c r="C284">
        <v>9019601</v>
      </c>
      <c r="D284" s="7">
        <f t="shared" si="14"/>
        <v>2023</v>
      </c>
      <c r="E284" s="7" t="str">
        <f t="shared" si="12"/>
        <v>Q4</v>
      </c>
      <c r="F284" t="str">
        <f t="shared" si="13"/>
        <v>Post-COVID</v>
      </c>
    </row>
    <row r="285" spans="1:6" x14ac:dyDescent="0.3">
      <c r="A285" t="s">
        <v>97</v>
      </c>
      <c r="B285" t="s">
        <v>46</v>
      </c>
      <c r="C285">
        <v>640341</v>
      </c>
      <c r="D285" s="7">
        <f t="shared" si="14"/>
        <v>2023</v>
      </c>
      <c r="E285" s="7" t="str">
        <f t="shared" si="12"/>
        <v>Q4</v>
      </c>
      <c r="F285" t="str">
        <f t="shared" si="13"/>
        <v>Post-COVID</v>
      </c>
    </row>
    <row r="286" spans="1:6" x14ac:dyDescent="0.3">
      <c r="A286" t="s">
        <v>97</v>
      </c>
      <c r="B286" t="s">
        <v>47</v>
      </c>
      <c r="C286">
        <v>7684824</v>
      </c>
      <c r="D286" s="7">
        <f t="shared" si="14"/>
        <v>2023</v>
      </c>
      <c r="E286" s="7" t="str">
        <f t="shared" si="12"/>
        <v>Q4</v>
      </c>
      <c r="F286" t="str">
        <f t="shared" si="13"/>
        <v>Post-COVID</v>
      </c>
    </row>
    <row r="287" spans="1:6" x14ac:dyDescent="0.3">
      <c r="A287" t="s">
        <v>97</v>
      </c>
      <c r="B287" t="s">
        <v>48</v>
      </c>
      <c r="C287">
        <v>90887</v>
      </c>
      <c r="D287" s="7">
        <f t="shared" si="14"/>
        <v>2023</v>
      </c>
      <c r="E287" s="7" t="str">
        <f t="shared" si="12"/>
        <v>Q4</v>
      </c>
      <c r="F287" t="str">
        <f t="shared" si="13"/>
        <v>Post-COVID</v>
      </c>
    </row>
    <row r="288" spans="1:6" x14ac:dyDescent="0.3">
      <c r="A288" t="s">
        <v>97</v>
      </c>
      <c r="B288" t="s">
        <v>49</v>
      </c>
      <c r="C288">
        <v>182254</v>
      </c>
      <c r="D288" s="7">
        <f t="shared" si="14"/>
        <v>2023</v>
      </c>
      <c r="E288" s="7" t="str">
        <f t="shared" si="12"/>
        <v>Q4</v>
      </c>
      <c r="F288" t="str">
        <f t="shared" si="13"/>
        <v>Post-COVID</v>
      </c>
    </row>
    <row r="289" spans="1:6" x14ac:dyDescent="0.3">
      <c r="A289" t="s">
        <v>97</v>
      </c>
      <c r="B289" t="s">
        <v>50</v>
      </c>
      <c r="C289">
        <v>421295</v>
      </c>
      <c r="D289" s="7">
        <f t="shared" si="14"/>
        <v>2023</v>
      </c>
      <c r="E289" s="7" t="str">
        <f t="shared" si="12"/>
        <v>Q4</v>
      </c>
      <c r="F289" t="str">
        <f t="shared" si="13"/>
        <v>Post-COVID</v>
      </c>
    </row>
    <row r="290" spans="1:6" x14ac:dyDescent="0.3">
      <c r="A290" t="s">
        <v>98</v>
      </c>
      <c r="B290" t="s">
        <v>45</v>
      </c>
      <c r="C290">
        <v>8227159</v>
      </c>
      <c r="D290" s="7">
        <f t="shared" si="14"/>
        <v>2024</v>
      </c>
      <c r="E290" s="7" t="str">
        <f t="shared" si="12"/>
        <v>Q1</v>
      </c>
      <c r="F290" t="str">
        <f t="shared" si="13"/>
        <v>Post-COVID</v>
      </c>
    </row>
    <row r="291" spans="1:6" x14ac:dyDescent="0.3">
      <c r="A291" t="s">
        <v>98</v>
      </c>
      <c r="B291" t="s">
        <v>46</v>
      </c>
      <c r="C291">
        <v>601989</v>
      </c>
      <c r="D291" s="7">
        <f t="shared" si="14"/>
        <v>2024</v>
      </c>
      <c r="E291" s="7" t="str">
        <f t="shared" si="12"/>
        <v>Q1</v>
      </c>
      <c r="F291" t="str">
        <f t="shared" si="13"/>
        <v>Post-COVID</v>
      </c>
    </row>
    <row r="292" spans="1:6" x14ac:dyDescent="0.3">
      <c r="A292" t="s">
        <v>98</v>
      </c>
      <c r="B292" t="s">
        <v>47</v>
      </c>
      <c r="C292">
        <v>7025552</v>
      </c>
      <c r="D292" s="7">
        <f t="shared" si="14"/>
        <v>2024</v>
      </c>
      <c r="E292" s="7" t="str">
        <f t="shared" si="12"/>
        <v>Q1</v>
      </c>
      <c r="F292" t="str">
        <f t="shared" si="13"/>
        <v>Post-COVID</v>
      </c>
    </row>
    <row r="293" spans="1:6" x14ac:dyDescent="0.3">
      <c r="A293" t="s">
        <v>98</v>
      </c>
      <c r="B293" t="s">
        <v>48</v>
      </c>
      <c r="C293">
        <v>71277</v>
      </c>
      <c r="D293" s="7">
        <f t="shared" si="14"/>
        <v>2024</v>
      </c>
      <c r="E293" s="7" t="str">
        <f t="shared" si="12"/>
        <v>Q1</v>
      </c>
      <c r="F293" t="str">
        <f t="shared" si="13"/>
        <v>Post-COVID</v>
      </c>
    </row>
    <row r="294" spans="1:6" x14ac:dyDescent="0.3">
      <c r="A294" t="s">
        <v>98</v>
      </c>
      <c r="B294" t="s">
        <v>49</v>
      </c>
      <c r="C294">
        <v>158595</v>
      </c>
      <c r="D294" s="7">
        <f t="shared" si="14"/>
        <v>2024</v>
      </c>
      <c r="E294" s="7" t="str">
        <f t="shared" si="12"/>
        <v>Q1</v>
      </c>
      <c r="F294" t="str">
        <f t="shared" si="13"/>
        <v>Post-COVID</v>
      </c>
    </row>
    <row r="295" spans="1:6" x14ac:dyDescent="0.3">
      <c r="A295" t="s">
        <v>98</v>
      </c>
      <c r="B295" t="s">
        <v>50</v>
      </c>
      <c r="C295">
        <v>369746</v>
      </c>
      <c r="D295" s="7">
        <f t="shared" si="14"/>
        <v>2024</v>
      </c>
      <c r="E295" s="7" t="str">
        <f t="shared" si="12"/>
        <v>Q1</v>
      </c>
      <c r="F295" t="str">
        <f t="shared" si="13"/>
        <v>Post-COVID</v>
      </c>
    </row>
    <row r="296" spans="1:6" x14ac:dyDescent="0.3">
      <c r="A296" t="s">
        <v>99</v>
      </c>
      <c r="B296" t="s">
        <v>45</v>
      </c>
      <c r="C296">
        <v>11231664</v>
      </c>
      <c r="D296" s="7">
        <f t="shared" si="14"/>
        <v>2024</v>
      </c>
      <c r="E296" s="7" t="str">
        <f t="shared" si="12"/>
        <v>Q2</v>
      </c>
      <c r="F296" t="str">
        <f t="shared" si="13"/>
        <v>Post-COVID</v>
      </c>
    </row>
    <row r="297" spans="1:6" x14ac:dyDescent="0.3">
      <c r="A297" t="s">
        <v>99</v>
      </c>
      <c r="B297" t="s">
        <v>46</v>
      </c>
      <c r="C297">
        <v>832446</v>
      </c>
      <c r="D297" s="7">
        <f t="shared" si="14"/>
        <v>2024</v>
      </c>
      <c r="E297" s="7" t="str">
        <f t="shared" si="12"/>
        <v>Q2</v>
      </c>
      <c r="F297" t="str">
        <f t="shared" si="13"/>
        <v>Post-COVID</v>
      </c>
    </row>
    <row r="298" spans="1:6" x14ac:dyDescent="0.3">
      <c r="A298" t="s">
        <v>99</v>
      </c>
      <c r="B298" t="s">
        <v>47</v>
      </c>
      <c r="C298">
        <v>9479228</v>
      </c>
      <c r="D298" s="7">
        <f t="shared" si="14"/>
        <v>2024</v>
      </c>
      <c r="E298" s="7" t="str">
        <f t="shared" si="12"/>
        <v>Q2</v>
      </c>
      <c r="F298" t="str">
        <f t="shared" si="13"/>
        <v>Post-COVID</v>
      </c>
    </row>
    <row r="299" spans="1:6" x14ac:dyDescent="0.3">
      <c r="A299" t="s">
        <v>99</v>
      </c>
      <c r="B299" t="s">
        <v>48</v>
      </c>
      <c r="C299">
        <v>113094</v>
      </c>
      <c r="D299" s="7">
        <f t="shared" si="14"/>
        <v>2024</v>
      </c>
      <c r="E299" s="7" t="str">
        <f t="shared" si="12"/>
        <v>Q2</v>
      </c>
      <c r="F299" t="str">
        <f t="shared" si="13"/>
        <v>Post-COVID</v>
      </c>
    </row>
    <row r="300" spans="1:6" x14ac:dyDescent="0.3">
      <c r="A300" t="s">
        <v>99</v>
      </c>
      <c r="B300" t="s">
        <v>49</v>
      </c>
      <c r="C300">
        <v>230783</v>
      </c>
      <c r="D300" s="7">
        <f t="shared" si="14"/>
        <v>2024</v>
      </c>
      <c r="E300" s="7" t="str">
        <f t="shared" si="12"/>
        <v>Q2</v>
      </c>
      <c r="F300" t="str">
        <f t="shared" si="13"/>
        <v>Post-COVID</v>
      </c>
    </row>
    <row r="301" spans="1:6" x14ac:dyDescent="0.3">
      <c r="A301" t="s">
        <v>99</v>
      </c>
      <c r="B301" t="s">
        <v>50</v>
      </c>
      <c r="C301">
        <v>576113</v>
      </c>
      <c r="D301" s="7">
        <f t="shared" si="14"/>
        <v>2024</v>
      </c>
      <c r="E301" s="7" t="str">
        <f t="shared" si="12"/>
        <v>Q2</v>
      </c>
      <c r="F301" t="str">
        <f t="shared" si="13"/>
        <v>Post-COVID</v>
      </c>
    </row>
    <row r="302" spans="1:6" x14ac:dyDescent="0.3">
      <c r="A302" t="s">
        <v>100</v>
      </c>
      <c r="B302" t="s">
        <v>45</v>
      </c>
      <c r="C302">
        <v>12364310</v>
      </c>
      <c r="D302" s="7">
        <f t="shared" si="14"/>
        <v>2024</v>
      </c>
      <c r="E302" s="7" t="str">
        <f t="shared" si="12"/>
        <v>Q3</v>
      </c>
      <c r="F302" t="str">
        <f t="shared" si="13"/>
        <v>Post-COVID</v>
      </c>
    </row>
    <row r="303" spans="1:6" x14ac:dyDescent="0.3">
      <c r="A303" t="s">
        <v>100</v>
      </c>
      <c r="B303" t="s">
        <v>46</v>
      </c>
      <c r="C303">
        <v>963202</v>
      </c>
      <c r="D303" s="7">
        <f t="shared" si="14"/>
        <v>2024</v>
      </c>
      <c r="E303" s="7" t="str">
        <f t="shared" si="12"/>
        <v>Q3</v>
      </c>
      <c r="F303" t="str">
        <f t="shared" si="13"/>
        <v>Post-COVID</v>
      </c>
    </row>
    <row r="304" spans="1:6" x14ac:dyDescent="0.3">
      <c r="A304" t="s">
        <v>100</v>
      </c>
      <c r="B304" t="s">
        <v>47</v>
      </c>
      <c r="C304">
        <v>10369522</v>
      </c>
      <c r="D304" s="7">
        <f t="shared" si="14"/>
        <v>2024</v>
      </c>
      <c r="E304" s="7" t="str">
        <f t="shared" si="12"/>
        <v>Q3</v>
      </c>
      <c r="F304" t="str">
        <f t="shared" si="13"/>
        <v>Post-COVID</v>
      </c>
    </row>
    <row r="305" spans="1:6" x14ac:dyDescent="0.3">
      <c r="A305" t="s">
        <v>100</v>
      </c>
      <c r="B305" t="s">
        <v>48</v>
      </c>
      <c r="C305">
        <v>135505</v>
      </c>
      <c r="D305" s="7">
        <f t="shared" si="14"/>
        <v>2024</v>
      </c>
      <c r="E305" s="7" t="str">
        <f t="shared" si="12"/>
        <v>Q3</v>
      </c>
      <c r="F305" t="str">
        <f t="shared" si="13"/>
        <v>Post-COVID</v>
      </c>
    </row>
    <row r="306" spans="1:6" x14ac:dyDescent="0.3">
      <c r="A306" t="s">
        <v>100</v>
      </c>
      <c r="B306" t="s">
        <v>49</v>
      </c>
      <c r="C306">
        <v>253641</v>
      </c>
      <c r="D306" s="7">
        <f t="shared" si="14"/>
        <v>2024</v>
      </c>
      <c r="E306" s="7" t="str">
        <f t="shared" si="12"/>
        <v>Q3</v>
      </c>
      <c r="F306" t="str">
        <f t="shared" si="13"/>
        <v>Post-COVID</v>
      </c>
    </row>
    <row r="307" spans="1:6" x14ac:dyDescent="0.3">
      <c r="A307" t="s">
        <v>100</v>
      </c>
      <c r="B307" t="s">
        <v>50</v>
      </c>
      <c r="C307">
        <v>642440</v>
      </c>
      <c r="D307" s="7">
        <f t="shared" si="14"/>
        <v>2024</v>
      </c>
      <c r="E307" s="7" t="str">
        <f t="shared" si="12"/>
        <v>Q3</v>
      </c>
      <c r="F307" t="str">
        <f t="shared" si="13"/>
        <v>Post-COVID</v>
      </c>
    </row>
    <row r="308" spans="1:6" x14ac:dyDescent="0.3">
      <c r="A308" t="s">
        <v>101</v>
      </c>
      <c r="B308" t="s">
        <v>45</v>
      </c>
      <c r="C308">
        <v>9164632</v>
      </c>
      <c r="D308" s="7">
        <f t="shared" si="14"/>
        <v>2024</v>
      </c>
      <c r="E308" s="7" t="str">
        <f t="shared" si="12"/>
        <v>Q4</v>
      </c>
      <c r="F308" t="str">
        <f t="shared" si="13"/>
        <v>Post-COVID</v>
      </c>
    </row>
    <row r="309" spans="1:6" x14ac:dyDescent="0.3">
      <c r="A309" t="s">
        <v>101</v>
      </c>
      <c r="B309" t="s">
        <v>46</v>
      </c>
      <c r="C309">
        <v>670812</v>
      </c>
      <c r="D309" s="7">
        <f t="shared" si="14"/>
        <v>2024</v>
      </c>
      <c r="E309" s="7" t="str">
        <f t="shared" si="12"/>
        <v>Q4</v>
      </c>
      <c r="F309" t="str">
        <f t="shared" si="13"/>
        <v>Post-COVID</v>
      </c>
    </row>
    <row r="310" spans="1:6" x14ac:dyDescent="0.3">
      <c r="A310" t="s">
        <v>101</v>
      </c>
      <c r="B310" t="s">
        <v>47</v>
      </c>
      <c r="C310">
        <v>7748958</v>
      </c>
      <c r="D310" s="7">
        <f t="shared" si="14"/>
        <v>2024</v>
      </c>
      <c r="E310" s="7" t="str">
        <f t="shared" si="12"/>
        <v>Q4</v>
      </c>
      <c r="F310" t="str">
        <f t="shared" si="13"/>
        <v>Post-COVID</v>
      </c>
    </row>
    <row r="311" spans="1:6" x14ac:dyDescent="0.3">
      <c r="A311" t="s">
        <v>101</v>
      </c>
      <c r="B311" t="s">
        <v>48</v>
      </c>
      <c r="C311">
        <v>92158</v>
      </c>
      <c r="D311" s="7">
        <f t="shared" si="14"/>
        <v>2024</v>
      </c>
      <c r="E311" s="7" t="str">
        <f t="shared" si="12"/>
        <v>Q4</v>
      </c>
      <c r="F311" t="str">
        <f t="shared" si="13"/>
        <v>Post-COVID</v>
      </c>
    </row>
    <row r="312" spans="1:6" x14ac:dyDescent="0.3">
      <c r="A312" t="s">
        <v>101</v>
      </c>
      <c r="B312" t="s">
        <v>49</v>
      </c>
      <c r="C312">
        <v>190172</v>
      </c>
      <c r="D312" s="7">
        <f t="shared" si="14"/>
        <v>2024</v>
      </c>
      <c r="E312" s="7" t="str">
        <f t="shared" si="12"/>
        <v>Q4</v>
      </c>
      <c r="F312" t="str">
        <f t="shared" si="13"/>
        <v>Post-COVID</v>
      </c>
    </row>
    <row r="313" spans="1:6" x14ac:dyDescent="0.3">
      <c r="A313" t="s">
        <v>101</v>
      </c>
      <c r="B313" t="s">
        <v>50</v>
      </c>
      <c r="C313">
        <v>462532</v>
      </c>
      <c r="D313" s="7">
        <f t="shared" si="14"/>
        <v>2024</v>
      </c>
      <c r="E313" s="7" t="str">
        <f t="shared" si="12"/>
        <v>Q4</v>
      </c>
      <c r="F313" t="str">
        <f t="shared" si="13"/>
        <v>Post-COVID</v>
      </c>
    </row>
    <row r="314" spans="1:6" x14ac:dyDescent="0.3">
      <c r="A314" t="s">
        <v>102</v>
      </c>
      <c r="B314" t="s">
        <v>45</v>
      </c>
      <c r="C314">
        <v>8207430</v>
      </c>
      <c r="D314" s="7">
        <f t="shared" si="14"/>
        <v>2025</v>
      </c>
      <c r="E314" s="7" t="str">
        <f t="shared" si="12"/>
        <v>Q1</v>
      </c>
      <c r="F314" t="str">
        <f t="shared" si="13"/>
        <v>Post-COVID</v>
      </c>
    </row>
    <row r="315" spans="1:6" x14ac:dyDescent="0.3">
      <c r="A315" t="s">
        <v>102</v>
      </c>
      <c r="B315" t="s">
        <v>46</v>
      </c>
      <c r="C315">
        <v>648356</v>
      </c>
      <c r="D315" s="7">
        <f t="shared" si="14"/>
        <v>2025</v>
      </c>
      <c r="E315" s="7" t="str">
        <f t="shared" si="12"/>
        <v>Q1</v>
      </c>
      <c r="F315" t="str">
        <f t="shared" si="13"/>
        <v>Post-COVID</v>
      </c>
    </row>
    <row r="316" spans="1:6" x14ac:dyDescent="0.3">
      <c r="A316" t="s">
        <v>102</v>
      </c>
      <c r="B316" t="s">
        <v>47</v>
      </c>
      <c r="C316">
        <v>6933757</v>
      </c>
      <c r="D316" s="7">
        <f t="shared" si="14"/>
        <v>2025</v>
      </c>
      <c r="E316" s="7" t="str">
        <f t="shared" si="12"/>
        <v>Q1</v>
      </c>
      <c r="F316" t="str">
        <f t="shared" si="13"/>
        <v>Post-COVID</v>
      </c>
    </row>
    <row r="317" spans="1:6" x14ac:dyDescent="0.3">
      <c r="A317" t="s">
        <v>102</v>
      </c>
      <c r="B317" t="s">
        <v>48</v>
      </c>
      <c r="C317">
        <v>72175</v>
      </c>
      <c r="D317" s="7">
        <f t="shared" si="14"/>
        <v>2025</v>
      </c>
      <c r="E317" s="7" t="str">
        <f t="shared" si="12"/>
        <v>Q1</v>
      </c>
      <c r="F317" t="str">
        <f t="shared" si="13"/>
        <v>Post-COVID</v>
      </c>
    </row>
    <row r="318" spans="1:6" x14ac:dyDescent="0.3">
      <c r="A318" t="s">
        <v>102</v>
      </c>
      <c r="B318" t="s">
        <v>49</v>
      </c>
      <c r="C318">
        <v>168444</v>
      </c>
      <c r="D318" s="7">
        <f t="shared" si="14"/>
        <v>2025</v>
      </c>
      <c r="E318" s="7" t="str">
        <f t="shared" si="12"/>
        <v>Q1</v>
      </c>
      <c r="F318" t="str">
        <f t="shared" si="13"/>
        <v>Post-COVID</v>
      </c>
    </row>
    <row r="319" spans="1:6" x14ac:dyDescent="0.3">
      <c r="A319" t="s">
        <v>102</v>
      </c>
      <c r="B319" t="s">
        <v>50</v>
      </c>
      <c r="C319">
        <v>384698</v>
      </c>
      <c r="D319" s="7">
        <f t="shared" si="14"/>
        <v>2025</v>
      </c>
      <c r="E319" s="7" t="str">
        <f t="shared" si="12"/>
        <v>Q1</v>
      </c>
      <c r="F319" t="str">
        <f t="shared" si="13"/>
        <v>Post-COVID</v>
      </c>
    </row>
    <row r="320" spans="1:6" x14ac:dyDescent="0.3">
      <c r="A320" t="s">
        <v>103</v>
      </c>
      <c r="B320" t="s">
        <v>45</v>
      </c>
      <c r="C320">
        <v>12042620</v>
      </c>
      <c r="D320" s="7">
        <f t="shared" si="14"/>
        <v>2025</v>
      </c>
      <c r="E320" s="7" t="str">
        <f t="shared" si="12"/>
        <v>Q2</v>
      </c>
      <c r="F320" t="str">
        <f t="shared" si="13"/>
        <v>Post-COVID</v>
      </c>
    </row>
    <row r="321" spans="1:6" x14ac:dyDescent="0.3">
      <c r="A321" t="s">
        <v>103</v>
      </c>
      <c r="B321" t="s">
        <v>46</v>
      </c>
      <c r="C321">
        <v>993437</v>
      </c>
      <c r="D321" s="7">
        <f t="shared" si="14"/>
        <v>2025</v>
      </c>
      <c r="E321" s="7" t="str">
        <f t="shared" si="12"/>
        <v>Q2</v>
      </c>
      <c r="F321" t="str">
        <f t="shared" si="13"/>
        <v>Post-COVID</v>
      </c>
    </row>
    <row r="322" spans="1:6" x14ac:dyDescent="0.3">
      <c r="A322" t="s">
        <v>103</v>
      </c>
      <c r="B322" t="s">
        <v>47</v>
      </c>
      <c r="C322">
        <v>10017651</v>
      </c>
      <c r="D322" s="7">
        <f t="shared" si="14"/>
        <v>2025</v>
      </c>
      <c r="E322" s="7" t="str">
        <f t="shared" ref="E322:E325" si="15">RIGHT(A322,2)</f>
        <v>Q2</v>
      </c>
      <c r="F322" t="str">
        <f t="shared" ref="F322:F325" si="16">IF(D322&lt;=2019,"Pre-COVID",IF(D322&lt;=2021,"COVID","Post-COVID"))</f>
        <v>Post-COVID</v>
      </c>
    </row>
    <row r="323" spans="1:6" x14ac:dyDescent="0.3">
      <c r="A323" t="s">
        <v>103</v>
      </c>
      <c r="B323" t="s">
        <v>48</v>
      </c>
      <c r="C323">
        <v>126964</v>
      </c>
      <c r="D323" s="7">
        <f t="shared" ref="D323:D325" si="17">VALUE(LEFT(A323,4))</f>
        <v>2025</v>
      </c>
      <c r="E323" s="7" t="str">
        <f t="shared" si="15"/>
        <v>Q2</v>
      </c>
      <c r="F323" t="str">
        <f t="shared" si="16"/>
        <v>Post-COVID</v>
      </c>
    </row>
    <row r="324" spans="1:6" x14ac:dyDescent="0.3">
      <c r="A324" t="s">
        <v>103</v>
      </c>
      <c r="B324" t="s">
        <v>49</v>
      </c>
      <c r="C324">
        <v>271057</v>
      </c>
      <c r="D324" s="7">
        <f t="shared" si="17"/>
        <v>2025</v>
      </c>
      <c r="E324" s="7" t="str">
        <f t="shared" si="15"/>
        <v>Q2</v>
      </c>
      <c r="F324" t="str">
        <f t="shared" si="16"/>
        <v>Post-COVID</v>
      </c>
    </row>
    <row r="325" spans="1:6" x14ac:dyDescent="0.3">
      <c r="A325" t="s">
        <v>103</v>
      </c>
      <c r="B325" t="s">
        <v>50</v>
      </c>
      <c r="C325">
        <v>633511</v>
      </c>
      <c r="D325" s="7">
        <f t="shared" si="17"/>
        <v>2025</v>
      </c>
      <c r="E325" s="7" t="str">
        <f t="shared" si="15"/>
        <v>Q2</v>
      </c>
      <c r="F325" t="str">
        <f t="shared" si="16"/>
        <v>Post-COVID</v>
      </c>
    </row>
    <row r="326" spans="1:6" x14ac:dyDescent="0.3">
      <c r="D326" s="7"/>
      <c r="E326" s="7"/>
    </row>
    <row r="327" spans="1:6" x14ac:dyDescent="0.3">
      <c r="D327" s="7"/>
      <c r="E327" s="7"/>
    </row>
    <row r="328" spans="1:6" x14ac:dyDescent="0.3">
      <c r="D328" s="7"/>
      <c r="E328" s="7"/>
    </row>
    <row r="329" spans="1:6" x14ac:dyDescent="0.3">
      <c r="D329" s="7"/>
      <c r="E329" s="7"/>
    </row>
    <row r="330" spans="1:6" x14ac:dyDescent="0.3">
      <c r="D330" s="7"/>
      <c r="E330" s="7"/>
    </row>
    <row r="331" spans="1:6" x14ac:dyDescent="0.3">
      <c r="D331" s="7"/>
      <c r="E331" s="7"/>
    </row>
    <row r="332" spans="1:6" x14ac:dyDescent="0.3">
      <c r="D332" s="7"/>
      <c r="E332" s="7"/>
    </row>
    <row r="333" spans="1:6" x14ac:dyDescent="0.3">
      <c r="D333" s="7"/>
      <c r="E333" s="7"/>
    </row>
    <row r="334" spans="1:6" x14ac:dyDescent="0.3">
      <c r="D334" s="7"/>
      <c r="E334" s="7"/>
    </row>
    <row r="335" spans="1:6" x14ac:dyDescent="0.3">
      <c r="D335" s="7"/>
      <c r="E335" s="7"/>
    </row>
    <row r="336" spans="1:6" x14ac:dyDescent="0.3">
      <c r="D336" s="7"/>
      <c r="E336" s="7"/>
    </row>
    <row r="337" spans="4:5" x14ac:dyDescent="0.3">
      <c r="D337" s="7"/>
      <c r="E337" s="7"/>
    </row>
    <row r="338" spans="4:5" x14ac:dyDescent="0.3">
      <c r="D338" s="7"/>
      <c r="E338" s="7"/>
    </row>
    <row r="339" spans="4:5" x14ac:dyDescent="0.3">
      <c r="D339" s="7"/>
      <c r="E339" s="7"/>
    </row>
    <row r="340" spans="4:5" x14ac:dyDescent="0.3">
      <c r="D340" s="7"/>
      <c r="E340" s="7"/>
    </row>
    <row r="341" spans="4:5" x14ac:dyDescent="0.3">
      <c r="D341" s="7"/>
      <c r="E341" s="7"/>
    </row>
    <row r="342" spans="4:5" x14ac:dyDescent="0.3">
      <c r="D342" s="7"/>
      <c r="E342" s="7"/>
    </row>
    <row r="343" spans="4:5" x14ac:dyDescent="0.3">
      <c r="D343" s="7"/>
      <c r="E343" s="7"/>
    </row>
    <row r="344" spans="4:5" x14ac:dyDescent="0.3">
      <c r="D344" s="7"/>
      <c r="E344" s="7"/>
    </row>
    <row r="345" spans="4:5" x14ac:dyDescent="0.3">
      <c r="D345" s="7"/>
      <c r="E345" s="7"/>
    </row>
    <row r="346" spans="4:5" x14ac:dyDescent="0.3">
      <c r="D346" s="7"/>
      <c r="E346" s="7"/>
    </row>
    <row r="347" spans="4:5" x14ac:dyDescent="0.3">
      <c r="D347" s="7"/>
      <c r="E347" s="7"/>
    </row>
    <row r="348" spans="4:5" x14ac:dyDescent="0.3">
      <c r="D348" s="7"/>
      <c r="E348" s="7"/>
    </row>
    <row r="349" spans="4:5" x14ac:dyDescent="0.3">
      <c r="D349" s="7"/>
      <c r="E349" s="7"/>
    </row>
    <row r="350" spans="4:5" x14ac:dyDescent="0.3">
      <c r="D350" s="7"/>
      <c r="E350" s="7"/>
    </row>
    <row r="351" spans="4:5" x14ac:dyDescent="0.3">
      <c r="D351" s="7"/>
      <c r="E351" s="7"/>
    </row>
    <row r="352" spans="4:5" x14ac:dyDescent="0.3">
      <c r="D352" s="7"/>
      <c r="E352" s="7"/>
    </row>
    <row r="353" spans="4:5" x14ac:dyDescent="0.3">
      <c r="D353" s="7"/>
      <c r="E353" s="7"/>
    </row>
    <row r="354" spans="4:5" x14ac:dyDescent="0.3">
      <c r="D354" s="7"/>
      <c r="E354" s="7"/>
    </row>
    <row r="355" spans="4:5" x14ac:dyDescent="0.3">
      <c r="D355" s="7"/>
      <c r="E355" s="7"/>
    </row>
    <row r="356" spans="4:5" x14ac:dyDescent="0.3">
      <c r="D356" s="7"/>
      <c r="E356" s="7"/>
    </row>
    <row r="357" spans="4:5" x14ac:dyDescent="0.3">
      <c r="D357" s="7"/>
      <c r="E357" s="7"/>
    </row>
    <row r="358" spans="4:5" x14ac:dyDescent="0.3">
      <c r="D358" s="7"/>
      <c r="E358" s="7"/>
    </row>
    <row r="359" spans="4:5" x14ac:dyDescent="0.3">
      <c r="D359" s="7"/>
      <c r="E359" s="7"/>
    </row>
    <row r="360" spans="4:5" x14ac:dyDescent="0.3">
      <c r="D360" s="7"/>
      <c r="E360" s="7"/>
    </row>
    <row r="361" spans="4:5" x14ac:dyDescent="0.3">
      <c r="D361" s="7"/>
      <c r="E361" s="7"/>
    </row>
    <row r="362" spans="4:5" x14ac:dyDescent="0.3">
      <c r="D362" s="7"/>
      <c r="E362" s="7"/>
    </row>
    <row r="363" spans="4:5" x14ac:dyDescent="0.3">
      <c r="D363" s="7"/>
      <c r="E363" s="7"/>
    </row>
    <row r="364" spans="4:5" x14ac:dyDescent="0.3">
      <c r="D364" s="7"/>
      <c r="E364" s="7"/>
    </row>
    <row r="365" spans="4:5" x14ac:dyDescent="0.3">
      <c r="D365" s="7"/>
      <c r="E365" s="7"/>
    </row>
    <row r="366" spans="4:5" x14ac:dyDescent="0.3">
      <c r="D366" s="7"/>
      <c r="E366" s="7"/>
    </row>
    <row r="367" spans="4:5" x14ac:dyDescent="0.3">
      <c r="D367" s="7"/>
      <c r="E367" s="7"/>
    </row>
    <row r="368" spans="4:5" x14ac:dyDescent="0.3">
      <c r="D368" s="7"/>
      <c r="E368" s="7"/>
    </row>
    <row r="369" spans="4:5" x14ac:dyDescent="0.3">
      <c r="D369" s="7"/>
      <c r="E369" s="7"/>
    </row>
    <row r="370" spans="4:5" x14ac:dyDescent="0.3">
      <c r="D370" s="7"/>
      <c r="E370" s="7"/>
    </row>
    <row r="371" spans="4:5" x14ac:dyDescent="0.3">
      <c r="D371" s="7"/>
      <c r="E371" s="7"/>
    </row>
    <row r="372" spans="4:5" x14ac:dyDescent="0.3">
      <c r="D372" s="7"/>
      <c r="E372" s="7"/>
    </row>
    <row r="373" spans="4:5" x14ac:dyDescent="0.3">
      <c r="D373" s="7"/>
      <c r="E373" s="7"/>
    </row>
    <row r="374" spans="4:5" x14ac:dyDescent="0.3">
      <c r="D374" s="7"/>
      <c r="E374" s="7"/>
    </row>
    <row r="375" spans="4:5" x14ac:dyDescent="0.3">
      <c r="D375" s="7"/>
      <c r="E375" s="7"/>
    </row>
    <row r="376" spans="4:5" x14ac:dyDescent="0.3">
      <c r="D376" s="7"/>
      <c r="E376" s="7"/>
    </row>
    <row r="377" spans="4:5" x14ac:dyDescent="0.3">
      <c r="D377" s="7"/>
      <c r="E377" s="7"/>
    </row>
    <row r="378" spans="4:5" x14ac:dyDescent="0.3">
      <c r="D378" s="7"/>
      <c r="E378" s="7"/>
    </row>
    <row r="379" spans="4:5" x14ac:dyDescent="0.3">
      <c r="D379" s="7"/>
      <c r="E379" s="7"/>
    </row>
    <row r="380" spans="4:5" x14ac:dyDescent="0.3">
      <c r="D380" s="7"/>
      <c r="E380" s="7"/>
    </row>
    <row r="381" spans="4:5" x14ac:dyDescent="0.3">
      <c r="D381" s="7"/>
      <c r="E381" s="7"/>
    </row>
    <row r="382" spans="4:5" x14ac:dyDescent="0.3">
      <c r="D382" s="7"/>
      <c r="E382" s="7"/>
    </row>
    <row r="383" spans="4:5" x14ac:dyDescent="0.3">
      <c r="D383" s="7"/>
      <c r="E383" s="7"/>
    </row>
    <row r="384" spans="4:5" x14ac:dyDescent="0.3">
      <c r="D384" s="7"/>
      <c r="E384" s="7"/>
    </row>
    <row r="385" spans="4:5" x14ac:dyDescent="0.3">
      <c r="D385" s="7"/>
      <c r="E385" s="7"/>
    </row>
    <row r="386" spans="4:5" x14ac:dyDescent="0.3">
      <c r="D386" s="7"/>
      <c r="E386" s="7"/>
    </row>
    <row r="387" spans="4:5" x14ac:dyDescent="0.3">
      <c r="D387" s="7"/>
      <c r="E387" s="7"/>
    </row>
    <row r="388" spans="4:5" x14ac:dyDescent="0.3">
      <c r="D388" s="7"/>
      <c r="E388" s="7"/>
    </row>
    <row r="389" spans="4:5" x14ac:dyDescent="0.3">
      <c r="D389" s="7"/>
      <c r="E389" s="7"/>
    </row>
    <row r="390" spans="4:5" x14ac:dyDescent="0.3">
      <c r="D390" s="7"/>
      <c r="E390" s="7"/>
    </row>
    <row r="391" spans="4:5" x14ac:dyDescent="0.3">
      <c r="D391" s="7"/>
      <c r="E391" s="7"/>
    </row>
    <row r="392" spans="4:5" x14ac:dyDescent="0.3">
      <c r="D392" s="7"/>
      <c r="E392" s="7"/>
    </row>
    <row r="393" spans="4:5" x14ac:dyDescent="0.3">
      <c r="D393" s="7"/>
      <c r="E393" s="7"/>
    </row>
    <row r="394" spans="4:5" x14ac:dyDescent="0.3">
      <c r="D394" s="7"/>
      <c r="E394" s="7"/>
    </row>
    <row r="395" spans="4:5" x14ac:dyDescent="0.3">
      <c r="D395" s="7"/>
      <c r="E395" s="7"/>
    </row>
    <row r="396" spans="4:5" x14ac:dyDescent="0.3">
      <c r="D396" s="7"/>
      <c r="E396" s="7"/>
    </row>
    <row r="397" spans="4:5" x14ac:dyDescent="0.3">
      <c r="D397" s="7"/>
      <c r="E397" s="7"/>
    </row>
    <row r="398" spans="4:5" x14ac:dyDescent="0.3">
      <c r="D398" s="7"/>
      <c r="E398" s="7"/>
    </row>
    <row r="399" spans="4:5" x14ac:dyDescent="0.3">
      <c r="D399" s="7"/>
      <c r="E399" s="7"/>
    </row>
    <row r="400" spans="4:5" x14ac:dyDescent="0.3">
      <c r="D400" s="7"/>
      <c r="E400" s="7"/>
    </row>
    <row r="401" spans="4:5" x14ac:dyDescent="0.3">
      <c r="D401" s="7"/>
      <c r="E401" s="7"/>
    </row>
    <row r="402" spans="4:5" x14ac:dyDescent="0.3">
      <c r="D402" s="7"/>
      <c r="E402" s="7"/>
    </row>
    <row r="403" spans="4:5" x14ac:dyDescent="0.3">
      <c r="D403" s="7"/>
      <c r="E403" s="7"/>
    </row>
    <row r="404" spans="4:5" x14ac:dyDescent="0.3">
      <c r="D404" s="7"/>
      <c r="E404" s="7"/>
    </row>
    <row r="405" spans="4:5" x14ac:dyDescent="0.3">
      <c r="D405" s="7"/>
      <c r="E405" s="7"/>
    </row>
    <row r="406" spans="4:5" x14ac:dyDescent="0.3">
      <c r="D406" s="7"/>
      <c r="E406" s="7"/>
    </row>
    <row r="407" spans="4:5" x14ac:dyDescent="0.3">
      <c r="D407" s="7"/>
      <c r="E407" s="7"/>
    </row>
    <row r="408" spans="4:5" x14ac:dyDescent="0.3">
      <c r="D408" s="7"/>
      <c r="E408" s="7"/>
    </row>
    <row r="409" spans="4:5" x14ac:dyDescent="0.3">
      <c r="D409" s="7"/>
      <c r="E409" s="7"/>
    </row>
    <row r="410" spans="4:5" x14ac:dyDescent="0.3">
      <c r="D410" s="7"/>
      <c r="E410" s="7"/>
    </row>
    <row r="411" spans="4:5" x14ac:dyDescent="0.3">
      <c r="D411" s="7"/>
      <c r="E411" s="7"/>
    </row>
    <row r="412" spans="4:5" x14ac:dyDescent="0.3">
      <c r="D412" s="7"/>
      <c r="E412" s="7"/>
    </row>
    <row r="413" spans="4:5" x14ac:dyDescent="0.3">
      <c r="D413" s="7"/>
      <c r="E413" s="7"/>
    </row>
    <row r="414" spans="4:5" x14ac:dyDescent="0.3">
      <c r="D414" s="7"/>
      <c r="E414" s="7"/>
    </row>
    <row r="415" spans="4:5" x14ac:dyDescent="0.3">
      <c r="D415" s="7"/>
      <c r="E415" s="7"/>
    </row>
    <row r="416" spans="4:5" x14ac:dyDescent="0.3">
      <c r="D416" s="7"/>
      <c r="E416" s="7"/>
    </row>
    <row r="417" spans="4:5" x14ac:dyDescent="0.3">
      <c r="D417" s="7"/>
      <c r="E417" s="7"/>
    </row>
    <row r="418" spans="4:5" x14ac:dyDescent="0.3">
      <c r="D418" s="7"/>
      <c r="E418" s="7"/>
    </row>
    <row r="419" spans="4:5" x14ac:dyDescent="0.3">
      <c r="D419" s="7"/>
      <c r="E419" s="7"/>
    </row>
    <row r="420" spans="4:5" x14ac:dyDescent="0.3">
      <c r="D420" s="7"/>
      <c r="E420" s="7"/>
    </row>
    <row r="421" spans="4:5" x14ac:dyDescent="0.3">
      <c r="D421" s="7"/>
      <c r="E421" s="7"/>
    </row>
    <row r="422" spans="4:5" x14ac:dyDescent="0.3">
      <c r="D422" s="7"/>
      <c r="E422" s="7"/>
    </row>
    <row r="423" spans="4:5" x14ac:dyDescent="0.3">
      <c r="D423" s="7"/>
      <c r="E423" s="7"/>
    </row>
    <row r="424" spans="4:5" x14ac:dyDescent="0.3">
      <c r="D424" s="7"/>
      <c r="E424" s="7"/>
    </row>
    <row r="425" spans="4:5" x14ac:dyDescent="0.3">
      <c r="D425" s="7"/>
      <c r="E425" s="7"/>
    </row>
    <row r="426" spans="4:5" x14ac:dyDescent="0.3">
      <c r="D426" s="7"/>
      <c r="E426" s="7"/>
    </row>
    <row r="427" spans="4:5" x14ac:dyDescent="0.3">
      <c r="D427" s="7"/>
      <c r="E427" s="7"/>
    </row>
    <row r="428" spans="4:5" x14ac:dyDescent="0.3">
      <c r="D428" s="7"/>
      <c r="E428" s="7"/>
    </row>
    <row r="429" spans="4:5" x14ac:dyDescent="0.3">
      <c r="D429" s="7"/>
      <c r="E429" s="7"/>
    </row>
    <row r="430" spans="4:5" x14ac:dyDescent="0.3">
      <c r="D430" s="7"/>
      <c r="E430" s="7"/>
    </row>
    <row r="431" spans="4:5" x14ac:dyDescent="0.3">
      <c r="D431" s="7"/>
      <c r="E431" s="7"/>
    </row>
    <row r="432" spans="4:5" x14ac:dyDescent="0.3">
      <c r="D432" s="7"/>
      <c r="E432" s="7"/>
    </row>
    <row r="433" spans="4:5" x14ac:dyDescent="0.3">
      <c r="D433" s="7"/>
      <c r="E433" s="7"/>
    </row>
    <row r="434" spans="4:5" x14ac:dyDescent="0.3">
      <c r="D434" s="7"/>
      <c r="E434" s="7"/>
    </row>
    <row r="435" spans="4:5" x14ac:dyDescent="0.3">
      <c r="D435" s="7"/>
      <c r="E435" s="7"/>
    </row>
    <row r="436" spans="4:5" x14ac:dyDescent="0.3">
      <c r="D436" s="7"/>
      <c r="E436" s="7"/>
    </row>
    <row r="437" spans="4:5" x14ac:dyDescent="0.3">
      <c r="D437" s="7"/>
      <c r="E437" s="7"/>
    </row>
    <row r="438" spans="4:5" x14ac:dyDescent="0.3">
      <c r="D438" s="7"/>
      <c r="E438" s="7"/>
    </row>
    <row r="439" spans="4:5" x14ac:dyDescent="0.3">
      <c r="D439" s="7"/>
      <c r="E439" s="7"/>
    </row>
    <row r="440" spans="4:5" x14ac:dyDescent="0.3">
      <c r="D440" s="7"/>
      <c r="E440" s="7"/>
    </row>
    <row r="441" spans="4:5" x14ac:dyDescent="0.3">
      <c r="D441" s="7"/>
      <c r="E441" s="7"/>
    </row>
    <row r="442" spans="4:5" x14ac:dyDescent="0.3">
      <c r="D442" s="7"/>
      <c r="E442" s="7"/>
    </row>
    <row r="443" spans="4:5" x14ac:dyDescent="0.3">
      <c r="D443" s="7"/>
      <c r="E443" s="7"/>
    </row>
    <row r="444" spans="4:5" x14ac:dyDescent="0.3">
      <c r="D444" s="7"/>
      <c r="E444" s="7"/>
    </row>
    <row r="445" spans="4:5" x14ac:dyDescent="0.3">
      <c r="D445" s="7"/>
      <c r="E445" s="7"/>
    </row>
    <row r="446" spans="4:5" x14ac:dyDescent="0.3">
      <c r="D446" s="7"/>
      <c r="E446" s="7"/>
    </row>
    <row r="447" spans="4:5" x14ac:dyDescent="0.3">
      <c r="D447" s="7"/>
      <c r="E447" s="7"/>
    </row>
    <row r="448" spans="4:5" x14ac:dyDescent="0.3">
      <c r="D448" s="7"/>
      <c r="E448" s="7"/>
    </row>
    <row r="449" spans="4:5" x14ac:dyDescent="0.3">
      <c r="D449" s="7"/>
      <c r="E449" s="7"/>
    </row>
    <row r="450" spans="4:5" x14ac:dyDescent="0.3">
      <c r="D450" s="7"/>
      <c r="E450" s="7"/>
    </row>
    <row r="451" spans="4:5" x14ac:dyDescent="0.3">
      <c r="D451" s="7"/>
      <c r="E451" s="7"/>
    </row>
    <row r="452" spans="4:5" x14ac:dyDescent="0.3">
      <c r="D452" s="7"/>
      <c r="E452" s="7"/>
    </row>
    <row r="453" spans="4:5" x14ac:dyDescent="0.3">
      <c r="D453" s="7"/>
      <c r="E453" s="7"/>
    </row>
    <row r="454" spans="4:5" x14ac:dyDescent="0.3">
      <c r="D454" s="7"/>
      <c r="E454" s="7"/>
    </row>
    <row r="455" spans="4:5" x14ac:dyDescent="0.3">
      <c r="D455" s="7"/>
      <c r="E455" s="7"/>
    </row>
    <row r="456" spans="4:5" x14ac:dyDescent="0.3">
      <c r="D456" s="7"/>
      <c r="E456" s="7"/>
    </row>
    <row r="457" spans="4:5" x14ac:dyDescent="0.3">
      <c r="D457" s="7"/>
      <c r="E457" s="7"/>
    </row>
    <row r="458" spans="4:5" x14ac:dyDescent="0.3">
      <c r="D458" s="7"/>
      <c r="E458" s="7"/>
    </row>
    <row r="459" spans="4:5" x14ac:dyDescent="0.3">
      <c r="D459" s="7"/>
      <c r="E459" s="7"/>
    </row>
    <row r="460" spans="4:5" x14ac:dyDescent="0.3">
      <c r="D460" s="7"/>
      <c r="E460" s="7"/>
    </row>
    <row r="461" spans="4:5" x14ac:dyDescent="0.3">
      <c r="D461" s="7"/>
      <c r="E461" s="7"/>
    </row>
    <row r="462" spans="4:5" x14ac:dyDescent="0.3">
      <c r="D462" s="7"/>
      <c r="E462" s="7"/>
    </row>
    <row r="463" spans="4:5" x14ac:dyDescent="0.3">
      <c r="D463" s="7"/>
      <c r="E463" s="7"/>
    </row>
    <row r="464" spans="4:5" x14ac:dyDescent="0.3">
      <c r="D464" s="7"/>
      <c r="E464" s="7"/>
    </row>
    <row r="465" spans="4:5" x14ac:dyDescent="0.3">
      <c r="D465" s="7"/>
      <c r="E465" s="7"/>
    </row>
    <row r="466" spans="4:5" x14ac:dyDescent="0.3">
      <c r="D466" s="7"/>
      <c r="E466" s="7"/>
    </row>
    <row r="467" spans="4:5" x14ac:dyDescent="0.3">
      <c r="D467" s="7"/>
      <c r="E467" s="7"/>
    </row>
    <row r="468" spans="4:5" x14ac:dyDescent="0.3">
      <c r="D468" s="7"/>
      <c r="E468" s="7"/>
    </row>
    <row r="469" spans="4:5" x14ac:dyDescent="0.3">
      <c r="D469" s="7"/>
      <c r="E469" s="7"/>
    </row>
    <row r="470" spans="4:5" x14ac:dyDescent="0.3">
      <c r="D470" s="7"/>
      <c r="E470" s="7"/>
    </row>
    <row r="471" spans="4:5" x14ac:dyDescent="0.3">
      <c r="D471" s="7"/>
      <c r="E471" s="7"/>
    </row>
    <row r="472" spans="4:5" x14ac:dyDescent="0.3">
      <c r="D472" s="7"/>
      <c r="E472" s="7"/>
    </row>
    <row r="473" spans="4:5" x14ac:dyDescent="0.3">
      <c r="D473" s="7"/>
      <c r="E473" s="7"/>
    </row>
    <row r="474" spans="4:5" x14ac:dyDescent="0.3">
      <c r="D474" s="7"/>
      <c r="E474" s="7"/>
    </row>
    <row r="475" spans="4:5" x14ac:dyDescent="0.3">
      <c r="D475" s="7"/>
      <c r="E475" s="7"/>
    </row>
    <row r="476" spans="4:5" x14ac:dyDescent="0.3">
      <c r="D476" s="7"/>
      <c r="E476" s="7"/>
    </row>
    <row r="477" spans="4:5" x14ac:dyDescent="0.3">
      <c r="D477" s="7"/>
      <c r="E477" s="7"/>
    </row>
    <row r="478" spans="4:5" x14ac:dyDescent="0.3">
      <c r="D478" s="7"/>
      <c r="E478" s="7"/>
    </row>
    <row r="479" spans="4:5" x14ac:dyDescent="0.3">
      <c r="D479" s="7"/>
      <c r="E479" s="7"/>
    </row>
    <row r="480" spans="4:5" x14ac:dyDescent="0.3">
      <c r="D480" s="7"/>
      <c r="E480" s="7"/>
    </row>
    <row r="481" spans="4:5" x14ac:dyDescent="0.3">
      <c r="D481" s="7"/>
      <c r="E481" s="7"/>
    </row>
    <row r="482" spans="4:5" x14ac:dyDescent="0.3">
      <c r="D482" s="7"/>
      <c r="E482" s="7"/>
    </row>
    <row r="483" spans="4:5" x14ac:dyDescent="0.3">
      <c r="D483" s="7"/>
      <c r="E483" s="7"/>
    </row>
    <row r="484" spans="4:5" x14ac:dyDescent="0.3">
      <c r="D484" s="7"/>
      <c r="E484" s="7"/>
    </row>
    <row r="485" spans="4:5" x14ac:dyDescent="0.3">
      <c r="D485" s="7"/>
      <c r="E485" s="7"/>
    </row>
    <row r="486" spans="4:5" x14ac:dyDescent="0.3">
      <c r="D486" s="7"/>
      <c r="E486" s="7"/>
    </row>
    <row r="487" spans="4:5" x14ac:dyDescent="0.3">
      <c r="D487" s="7"/>
      <c r="E487" s="7"/>
    </row>
    <row r="488" spans="4:5" x14ac:dyDescent="0.3">
      <c r="D488" s="7"/>
      <c r="E488" s="7"/>
    </row>
    <row r="489" spans="4:5" x14ac:dyDescent="0.3">
      <c r="D489" s="7"/>
      <c r="E489" s="7"/>
    </row>
    <row r="490" spans="4:5" x14ac:dyDescent="0.3">
      <c r="D490" s="7"/>
      <c r="E490" s="7"/>
    </row>
    <row r="491" spans="4:5" x14ac:dyDescent="0.3">
      <c r="D491" s="7"/>
      <c r="E491" s="7"/>
    </row>
    <row r="492" spans="4:5" x14ac:dyDescent="0.3">
      <c r="D492" s="7"/>
      <c r="E492" s="7"/>
    </row>
    <row r="493" spans="4:5" x14ac:dyDescent="0.3">
      <c r="D493" s="7"/>
      <c r="E493" s="7"/>
    </row>
    <row r="494" spans="4:5" x14ac:dyDescent="0.3">
      <c r="D494" s="7"/>
      <c r="E494" s="7"/>
    </row>
    <row r="495" spans="4:5" x14ac:dyDescent="0.3">
      <c r="D495" s="7"/>
      <c r="E495" s="7"/>
    </row>
    <row r="496" spans="4:5" x14ac:dyDescent="0.3">
      <c r="D496" s="7"/>
      <c r="E496" s="7"/>
    </row>
    <row r="497" spans="4:5" x14ac:dyDescent="0.3">
      <c r="D497" s="7"/>
      <c r="E497" s="7"/>
    </row>
    <row r="498" spans="4:5" x14ac:dyDescent="0.3">
      <c r="D498" s="7"/>
      <c r="E498" s="7"/>
    </row>
    <row r="499" spans="4:5" x14ac:dyDescent="0.3">
      <c r="D499" s="7"/>
      <c r="E499" s="7"/>
    </row>
    <row r="500" spans="4:5" x14ac:dyDescent="0.3">
      <c r="D500" s="7"/>
      <c r="E500" s="7"/>
    </row>
    <row r="501" spans="4:5" x14ac:dyDescent="0.3">
      <c r="D501" s="7"/>
      <c r="E501" s="7"/>
    </row>
    <row r="502" spans="4:5" x14ac:dyDescent="0.3">
      <c r="D502" s="7"/>
      <c r="E502" s="7"/>
    </row>
    <row r="503" spans="4:5" x14ac:dyDescent="0.3">
      <c r="D503" s="7"/>
      <c r="E503" s="7"/>
    </row>
    <row r="504" spans="4:5" x14ac:dyDescent="0.3">
      <c r="D504" s="7"/>
      <c r="E504" s="7"/>
    </row>
    <row r="505" spans="4:5" x14ac:dyDescent="0.3">
      <c r="D505" s="7"/>
      <c r="E505" s="7"/>
    </row>
    <row r="506" spans="4:5" x14ac:dyDescent="0.3">
      <c r="D506" s="7"/>
      <c r="E506" s="7"/>
    </row>
    <row r="507" spans="4:5" x14ac:dyDescent="0.3">
      <c r="D507" s="7"/>
      <c r="E507" s="7"/>
    </row>
    <row r="508" spans="4:5" x14ac:dyDescent="0.3">
      <c r="D508" s="7"/>
      <c r="E508" s="7"/>
    </row>
    <row r="509" spans="4:5" x14ac:dyDescent="0.3">
      <c r="D509" s="7"/>
      <c r="E509" s="7"/>
    </row>
    <row r="510" spans="4:5" x14ac:dyDescent="0.3">
      <c r="D510" s="7"/>
      <c r="E510" s="7"/>
    </row>
    <row r="511" spans="4:5" x14ac:dyDescent="0.3">
      <c r="D511" s="7"/>
      <c r="E511" s="7"/>
    </row>
    <row r="512" spans="4:5" x14ac:dyDescent="0.3">
      <c r="D512" s="7"/>
      <c r="E512" s="7"/>
    </row>
    <row r="513" spans="4:5" x14ac:dyDescent="0.3">
      <c r="D513" s="7"/>
      <c r="E513" s="7"/>
    </row>
    <row r="514" spans="4:5" x14ac:dyDescent="0.3">
      <c r="D514" s="7"/>
      <c r="E514" s="7"/>
    </row>
    <row r="515" spans="4:5" x14ac:dyDescent="0.3">
      <c r="D515" s="7"/>
      <c r="E515" s="7"/>
    </row>
    <row r="516" spans="4:5" x14ac:dyDescent="0.3">
      <c r="D516" s="7"/>
      <c r="E516" s="7"/>
    </row>
    <row r="517" spans="4:5" x14ac:dyDescent="0.3">
      <c r="D517" s="7"/>
      <c r="E517" s="7"/>
    </row>
    <row r="518" spans="4:5" x14ac:dyDescent="0.3">
      <c r="D518" s="7"/>
      <c r="E518" s="7"/>
    </row>
    <row r="519" spans="4:5" x14ac:dyDescent="0.3">
      <c r="D519" s="7"/>
      <c r="E519" s="7"/>
    </row>
    <row r="520" spans="4:5" x14ac:dyDescent="0.3">
      <c r="D520" s="7"/>
      <c r="E520" s="7"/>
    </row>
    <row r="521" spans="4:5" x14ac:dyDescent="0.3">
      <c r="D521" s="7"/>
      <c r="E521" s="7"/>
    </row>
    <row r="522" spans="4:5" x14ac:dyDescent="0.3">
      <c r="D522" s="7"/>
      <c r="E522" s="7"/>
    </row>
    <row r="523" spans="4:5" x14ac:dyDescent="0.3">
      <c r="D523" s="7"/>
      <c r="E523" s="7"/>
    </row>
    <row r="524" spans="4:5" x14ac:dyDescent="0.3">
      <c r="D524" s="7"/>
      <c r="E524" s="7"/>
    </row>
    <row r="525" spans="4:5" x14ac:dyDescent="0.3">
      <c r="D525" s="7"/>
      <c r="E525" s="7"/>
    </row>
    <row r="526" spans="4:5" x14ac:dyDescent="0.3">
      <c r="D526" s="7"/>
      <c r="E526" s="7"/>
    </row>
    <row r="527" spans="4:5" x14ac:dyDescent="0.3">
      <c r="D527" s="7"/>
      <c r="E527" s="7"/>
    </row>
    <row r="528" spans="4:5" x14ac:dyDescent="0.3">
      <c r="D528" s="7"/>
      <c r="E528" s="7"/>
    </row>
    <row r="529" spans="4:5" x14ac:dyDescent="0.3">
      <c r="D529" s="7"/>
      <c r="E529" s="7"/>
    </row>
    <row r="530" spans="4:5" x14ac:dyDescent="0.3">
      <c r="D530" s="7"/>
      <c r="E530" s="7"/>
    </row>
    <row r="531" spans="4:5" x14ac:dyDescent="0.3">
      <c r="D531" s="7"/>
      <c r="E531" s="7"/>
    </row>
    <row r="532" spans="4:5" x14ac:dyDescent="0.3">
      <c r="D532" s="7"/>
      <c r="E532" s="7"/>
    </row>
    <row r="533" spans="4:5" x14ac:dyDescent="0.3">
      <c r="D533" s="7"/>
      <c r="E533" s="7"/>
    </row>
    <row r="534" spans="4:5" x14ac:dyDescent="0.3">
      <c r="D534" s="7"/>
      <c r="E534" s="7"/>
    </row>
    <row r="535" spans="4:5" x14ac:dyDescent="0.3">
      <c r="D535" s="7"/>
      <c r="E535" s="7"/>
    </row>
    <row r="536" spans="4:5" x14ac:dyDescent="0.3">
      <c r="D536" s="7"/>
      <c r="E536" s="7"/>
    </row>
    <row r="537" spans="4:5" x14ac:dyDescent="0.3">
      <c r="D537" s="7"/>
      <c r="E537" s="7"/>
    </row>
    <row r="538" spans="4:5" x14ac:dyDescent="0.3">
      <c r="D538" s="7"/>
      <c r="E538" s="7"/>
    </row>
    <row r="539" spans="4:5" x14ac:dyDescent="0.3">
      <c r="D539" s="7"/>
      <c r="E539" s="7"/>
    </row>
    <row r="540" spans="4:5" x14ac:dyDescent="0.3">
      <c r="D540" s="7"/>
      <c r="E540" s="7"/>
    </row>
    <row r="541" spans="4:5" x14ac:dyDescent="0.3">
      <c r="D541" s="7"/>
      <c r="E541" s="7"/>
    </row>
    <row r="542" spans="4:5" x14ac:dyDescent="0.3">
      <c r="D542" s="7"/>
      <c r="E542" s="7"/>
    </row>
    <row r="543" spans="4:5" x14ac:dyDescent="0.3">
      <c r="D543" s="7"/>
      <c r="E543" s="7"/>
    </row>
    <row r="544" spans="4:5" x14ac:dyDescent="0.3">
      <c r="D544" s="7"/>
      <c r="E544" s="7"/>
    </row>
    <row r="545" spans="4:5" x14ac:dyDescent="0.3">
      <c r="D545" s="7"/>
      <c r="E545" s="7"/>
    </row>
    <row r="546" spans="4:5" x14ac:dyDescent="0.3">
      <c r="D546" s="7"/>
      <c r="E546" s="7"/>
    </row>
    <row r="547" spans="4:5" x14ac:dyDescent="0.3">
      <c r="D547" s="7"/>
      <c r="E547" s="7"/>
    </row>
    <row r="548" spans="4:5" x14ac:dyDescent="0.3">
      <c r="D548" s="7"/>
      <c r="E548" s="7"/>
    </row>
    <row r="549" spans="4:5" x14ac:dyDescent="0.3">
      <c r="D549" s="7"/>
      <c r="E549" s="7"/>
    </row>
    <row r="550" spans="4:5" x14ac:dyDescent="0.3">
      <c r="D550" s="7"/>
      <c r="E550" s="7"/>
    </row>
    <row r="551" spans="4:5" x14ac:dyDescent="0.3">
      <c r="D551" s="7"/>
      <c r="E551" s="7"/>
    </row>
    <row r="552" spans="4:5" x14ac:dyDescent="0.3">
      <c r="D552" s="7"/>
      <c r="E552" s="7"/>
    </row>
    <row r="553" spans="4:5" x14ac:dyDescent="0.3">
      <c r="D553" s="7"/>
      <c r="E553" s="7"/>
    </row>
    <row r="554" spans="4:5" x14ac:dyDescent="0.3">
      <c r="D554" s="7"/>
      <c r="E554" s="7"/>
    </row>
    <row r="555" spans="4:5" x14ac:dyDescent="0.3">
      <c r="D555" s="7"/>
      <c r="E555" s="7"/>
    </row>
    <row r="556" spans="4:5" x14ac:dyDescent="0.3">
      <c r="D556" s="7"/>
      <c r="E556" s="7"/>
    </row>
    <row r="557" spans="4:5" x14ac:dyDescent="0.3">
      <c r="D557" s="7"/>
      <c r="E557" s="7"/>
    </row>
    <row r="558" spans="4:5" x14ac:dyDescent="0.3">
      <c r="D558" s="7"/>
      <c r="E558" s="7"/>
    </row>
    <row r="559" spans="4:5" x14ac:dyDescent="0.3">
      <c r="D559" s="7"/>
      <c r="E559" s="7"/>
    </row>
    <row r="560" spans="4:5" x14ac:dyDescent="0.3">
      <c r="D560" s="7"/>
      <c r="E560" s="7"/>
    </row>
    <row r="561" spans="4:5" x14ac:dyDescent="0.3">
      <c r="D561" s="7"/>
      <c r="E561" s="7"/>
    </row>
    <row r="562" spans="4:5" x14ac:dyDescent="0.3">
      <c r="D562" s="7"/>
      <c r="E562" s="7"/>
    </row>
    <row r="563" spans="4:5" x14ac:dyDescent="0.3">
      <c r="D563" s="7"/>
      <c r="E563" s="7"/>
    </row>
    <row r="564" spans="4:5" x14ac:dyDescent="0.3">
      <c r="D564" s="7"/>
      <c r="E564" s="7"/>
    </row>
    <row r="565" spans="4:5" x14ac:dyDescent="0.3">
      <c r="D565" s="7"/>
      <c r="E565" s="7"/>
    </row>
    <row r="566" spans="4:5" x14ac:dyDescent="0.3">
      <c r="D566" s="7"/>
      <c r="E566" s="7"/>
    </row>
    <row r="567" spans="4:5" x14ac:dyDescent="0.3">
      <c r="D567" s="7"/>
      <c r="E567" s="7"/>
    </row>
    <row r="568" spans="4:5" x14ac:dyDescent="0.3">
      <c r="D568" s="7"/>
      <c r="E568" s="7"/>
    </row>
    <row r="569" spans="4:5" x14ac:dyDescent="0.3">
      <c r="D569" s="7"/>
      <c r="E569" s="7"/>
    </row>
    <row r="570" spans="4:5" x14ac:dyDescent="0.3">
      <c r="D570" s="7"/>
      <c r="E570" s="7"/>
    </row>
    <row r="571" spans="4:5" x14ac:dyDescent="0.3">
      <c r="D571" s="7"/>
      <c r="E571" s="7"/>
    </row>
    <row r="572" spans="4:5" x14ac:dyDescent="0.3">
      <c r="D572" s="7"/>
      <c r="E572" s="7"/>
    </row>
    <row r="573" spans="4:5" x14ac:dyDescent="0.3">
      <c r="D573" s="7"/>
      <c r="E573" s="7"/>
    </row>
    <row r="574" spans="4:5" x14ac:dyDescent="0.3">
      <c r="D574" s="7"/>
      <c r="E574" s="7"/>
    </row>
    <row r="575" spans="4:5" x14ac:dyDescent="0.3">
      <c r="D575" s="7"/>
      <c r="E575" s="7"/>
    </row>
    <row r="576" spans="4:5" x14ac:dyDescent="0.3">
      <c r="D576" s="7"/>
      <c r="E576" s="7"/>
    </row>
    <row r="577" spans="4:5" x14ac:dyDescent="0.3">
      <c r="D577" s="7"/>
      <c r="E577" s="7"/>
    </row>
    <row r="578" spans="4:5" x14ac:dyDescent="0.3">
      <c r="D578" s="7"/>
      <c r="E578" s="7"/>
    </row>
    <row r="579" spans="4:5" x14ac:dyDescent="0.3">
      <c r="D579" s="7"/>
      <c r="E579" s="7"/>
    </row>
    <row r="580" spans="4:5" x14ac:dyDescent="0.3">
      <c r="D580" s="7"/>
      <c r="E580" s="7"/>
    </row>
    <row r="581" spans="4:5" x14ac:dyDescent="0.3">
      <c r="D581" s="7"/>
      <c r="E581" s="7"/>
    </row>
    <row r="582" spans="4:5" x14ac:dyDescent="0.3">
      <c r="D582" s="7"/>
      <c r="E582" s="7"/>
    </row>
    <row r="583" spans="4:5" x14ac:dyDescent="0.3">
      <c r="D583" s="7"/>
      <c r="E583" s="7"/>
    </row>
    <row r="584" spans="4:5" x14ac:dyDescent="0.3">
      <c r="D584" s="7"/>
      <c r="E584" s="7"/>
    </row>
    <row r="585" spans="4:5" x14ac:dyDescent="0.3">
      <c r="D585" s="7"/>
      <c r="E585" s="7"/>
    </row>
    <row r="586" spans="4:5" x14ac:dyDescent="0.3">
      <c r="D586" s="7"/>
      <c r="E586" s="7"/>
    </row>
    <row r="587" spans="4:5" x14ac:dyDescent="0.3">
      <c r="D587" s="7"/>
      <c r="E587" s="7"/>
    </row>
    <row r="588" spans="4:5" x14ac:dyDescent="0.3">
      <c r="D588" s="7"/>
      <c r="E588" s="7"/>
    </row>
    <row r="589" spans="4:5" x14ac:dyDescent="0.3">
      <c r="D589" s="7"/>
      <c r="E589" s="7"/>
    </row>
    <row r="590" spans="4:5" x14ac:dyDescent="0.3">
      <c r="D590" s="7"/>
      <c r="E590" s="7"/>
    </row>
    <row r="591" spans="4:5" x14ac:dyDescent="0.3">
      <c r="D591" s="7"/>
      <c r="E591" s="7"/>
    </row>
    <row r="592" spans="4:5" x14ac:dyDescent="0.3">
      <c r="D592" s="7"/>
      <c r="E592" s="7"/>
    </row>
    <row r="593" spans="4:5" x14ac:dyDescent="0.3">
      <c r="D593" s="7"/>
      <c r="E593" s="7"/>
    </row>
    <row r="594" spans="4:5" x14ac:dyDescent="0.3">
      <c r="D594" s="7"/>
      <c r="E594" s="7"/>
    </row>
    <row r="595" spans="4:5" x14ac:dyDescent="0.3">
      <c r="D595" s="7"/>
      <c r="E595" s="7"/>
    </row>
    <row r="596" spans="4:5" x14ac:dyDescent="0.3">
      <c r="D596" s="7"/>
      <c r="E596" s="7"/>
    </row>
    <row r="597" spans="4:5" x14ac:dyDescent="0.3">
      <c r="D597" s="7"/>
      <c r="E597" s="7"/>
    </row>
    <row r="598" spans="4:5" x14ac:dyDescent="0.3">
      <c r="D598" s="7"/>
      <c r="E598" s="7"/>
    </row>
    <row r="599" spans="4:5" x14ac:dyDescent="0.3">
      <c r="D599" s="7"/>
      <c r="E599" s="7"/>
    </row>
    <row r="600" spans="4:5" x14ac:dyDescent="0.3">
      <c r="D600" s="7"/>
      <c r="E600" s="7"/>
    </row>
    <row r="601" spans="4:5" x14ac:dyDescent="0.3">
      <c r="D601" s="7"/>
      <c r="E601" s="7"/>
    </row>
    <row r="602" spans="4:5" x14ac:dyDescent="0.3">
      <c r="D602" s="7"/>
      <c r="E602" s="7"/>
    </row>
    <row r="603" spans="4:5" x14ac:dyDescent="0.3">
      <c r="D603" s="7"/>
      <c r="E603" s="7"/>
    </row>
    <row r="604" spans="4:5" x14ac:dyDescent="0.3">
      <c r="D604" s="7"/>
      <c r="E604" s="7"/>
    </row>
    <row r="605" spans="4:5" x14ac:dyDescent="0.3">
      <c r="D605" s="7"/>
      <c r="E605" s="7"/>
    </row>
    <row r="606" spans="4:5" x14ac:dyDescent="0.3">
      <c r="D606" s="7"/>
      <c r="E606" s="7"/>
    </row>
    <row r="607" spans="4:5" x14ac:dyDescent="0.3">
      <c r="D607" s="7"/>
      <c r="E607" s="7"/>
    </row>
    <row r="608" spans="4:5" x14ac:dyDescent="0.3">
      <c r="D608" s="7"/>
      <c r="E608" s="7"/>
    </row>
    <row r="609" spans="4:5" x14ac:dyDescent="0.3">
      <c r="D609" s="7"/>
      <c r="E609" s="7"/>
    </row>
    <row r="610" spans="4:5" x14ac:dyDescent="0.3">
      <c r="D610" s="7"/>
      <c r="E610" s="7"/>
    </row>
    <row r="611" spans="4:5" x14ac:dyDescent="0.3">
      <c r="D611" s="7"/>
      <c r="E611" s="7"/>
    </row>
    <row r="612" spans="4:5" x14ac:dyDescent="0.3">
      <c r="D612" s="7"/>
      <c r="E612" s="7"/>
    </row>
    <row r="613" spans="4:5" x14ac:dyDescent="0.3">
      <c r="D613" s="7"/>
      <c r="E613" s="7"/>
    </row>
    <row r="614" spans="4:5" x14ac:dyDescent="0.3">
      <c r="D614" s="7"/>
      <c r="E614" s="7"/>
    </row>
    <row r="615" spans="4:5" x14ac:dyDescent="0.3">
      <c r="D615" s="7"/>
      <c r="E615" s="7"/>
    </row>
    <row r="616" spans="4:5" x14ac:dyDescent="0.3">
      <c r="D616" s="7"/>
      <c r="E616" s="7"/>
    </row>
    <row r="617" spans="4:5" x14ac:dyDescent="0.3">
      <c r="D617" s="7"/>
      <c r="E617" s="7"/>
    </row>
    <row r="618" spans="4:5" x14ac:dyDescent="0.3">
      <c r="D618" s="7"/>
      <c r="E618" s="7"/>
    </row>
    <row r="619" spans="4:5" x14ac:dyDescent="0.3">
      <c r="D619" s="7"/>
      <c r="E619" s="7"/>
    </row>
    <row r="620" spans="4:5" x14ac:dyDescent="0.3">
      <c r="D620" s="7"/>
      <c r="E620" s="7"/>
    </row>
    <row r="621" spans="4:5" x14ac:dyDescent="0.3">
      <c r="D621" s="7"/>
      <c r="E621" s="7"/>
    </row>
    <row r="622" spans="4:5" x14ac:dyDescent="0.3">
      <c r="D622" s="7"/>
      <c r="E622" s="7"/>
    </row>
    <row r="623" spans="4:5" x14ac:dyDescent="0.3">
      <c r="D623" s="7"/>
      <c r="E623" s="7"/>
    </row>
    <row r="624" spans="4:5" x14ac:dyDescent="0.3">
      <c r="D624" s="7"/>
      <c r="E624" s="7"/>
    </row>
    <row r="625" spans="4:5" x14ac:dyDescent="0.3">
      <c r="D625" s="7"/>
      <c r="E625" s="7"/>
    </row>
    <row r="626" spans="4:5" x14ac:dyDescent="0.3">
      <c r="D626" s="7"/>
      <c r="E626" s="7"/>
    </row>
    <row r="627" spans="4:5" x14ac:dyDescent="0.3">
      <c r="D627" s="7"/>
      <c r="E627" s="7"/>
    </row>
    <row r="628" spans="4:5" x14ac:dyDescent="0.3">
      <c r="D628" s="7"/>
      <c r="E628" s="7"/>
    </row>
    <row r="629" spans="4:5" x14ac:dyDescent="0.3">
      <c r="D629" s="7"/>
      <c r="E629" s="7"/>
    </row>
    <row r="630" spans="4:5" x14ac:dyDescent="0.3">
      <c r="D630" s="7"/>
      <c r="E630" s="7"/>
    </row>
    <row r="631" spans="4:5" x14ac:dyDescent="0.3">
      <c r="D631" s="7"/>
      <c r="E631" s="7"/>
    </row>
    <row r="632" spans="4:5" x14ac:dyDescent="0.3">
      <c r="D632" s="7"/>
      <c r="E632" s="7"/>
    </row>
    <row r="633" spans="4:5" x14ac:dyDescent="0.3">
      <c r="D633" s="7"/>
      <c r="E633" s="7"/>
    </row>
    <row r="634" spans="4:5" x14ac:dyDescent="0.3">
      <c r="D634" s="7"/>
      <c r="E634" s="7"/>
    </row>
    <row r="635" spans="4:5" x14ac:dyDescent="0.3">
      <c r="D635" s="7"/>
      <c r="E635" s="7"/>
    </row>
    <row r="636" spans="4:5" x14ac:dyDescent="0.3">
      <c r="D636" s="7"/>
      <c r="E636" s="7"/>
    </row>
    <row r="637" spans="4:5" x14ac:dyDescent="0.3">
      <c r="D637" s="7"/>
      <c r="E637" s="7"/>
    </row>
    <row r="638" spans="4:5" x14ac:dyDescent="0.3">
      <c r="D638" s="7"/>
      <c r="E638" s="7"/>
    </row>
    <row r="639" spans="4:5" x14ac:dyDescent="0.3">
      <c r="D639" s="7"/>
      <c r="E639" s="7"/>
    </row>
    <row r="640" spans="4:5" x14ac:dyDescent="0.3">
      <c r="D640" s="7"/>
      <c r="E640" s="7"/>
    </row>
    <row r="641" spans="4:5" x14ac:dyDescent="0.3">
      <c r="D641" s="7"/>
      <c r="E641" s="7"/>
    </row>
    <row r="642" spans="4:5" x14ac:dyDescent="0.3">
      <c r="D642" s="7"/>
      <c r="E642" s="7"/>
    </row>
    <row r="643" spans="4:5" x14ac:dyDescent="0.3">
      <c r="D643" s="7"/>
      <c r="E643" s="7"/>
    </row>
    <row r="644" spans="4:5" x14ac:dyDescent="0.3">
      <c r="D644" s="7"/>
      <c r="E644" s="7"/>
    </row>
    <row r="645" spans="4:5" x14ac:dyDescent="0.3">
      <c r="D645" s="7"/>
      <c r="E645" s="7"/>
    </row>
    <row r="646" spans="4:5" x14ac:dyDescent="0.3">
      <c r="D646" s="7"/>
      <c r="E646" s="7"/>
    </row>
    <row r="647" spans="4:5" x14ac:dyDescent="0.3">
      <c r="D647" s="7"/>
      <c r="E647" s="7"/>
    </row>
    <row r="648" spans="4:5" x14ac:dyDescent="0.3">
      <c r="D648" s="7"/>
      <c r="E648" s="7"/>
    </row>
    <row r="649" spans="4:5" x14ac:dyDescent="0.3">
      <c r="D649" s="7"/>
      <c r="E649" s="7"/>
    </row>
    <row r="650" spans="4:5" x14ac:dyDescent="0.3">
      <c r="D650" s="7"/>
      <c r="E650" s="7"/>
    </row>
    <row r="651" spans="4:5" x14ac:dyDescent="0.3">
      <c r="D651" s="7"/>
      <c r="E651" s="7"/>
    </row>
    <row r="652" spans="4:5" x14ac:dyDescent="0.3">
      <c r="D652" s="7"/>
      <c r="E652" s="7"/>
    </row>
    <row r="653" spans="4:5" x14ac:dyDescent="0.3">
      <c r="D653" s="7"/>
      <c r="E653" s="7"/>
    </row>
    <row r="654" spans="4:5" x14ac:dyDescent="0.3">
      <c r="D654" s="7"/>
      <c r="E654" s="7"/>
    </row>
    <row r="655" spans="4:5" x14ac:dyDescent="0.3">
      <c r="D655" s="7"/>
      <c r="E655" s="7"/>
    </row>
    <row r="656" spans="4:5" x14ac:dyDescent="0.3">
      <c r="D656" s="7"/>
      <c r="E656" s="7"/>
    </row>
    <row r="657" spans="4:5" x14ac:dyDescent="0.3">
      <c r="D657" s="7"/>
      <c r="E657" s="7"/>
    </row>
    <row r="658" spans="4:5" x14ac:dyDescent="0.3">
      <c r="D658" s="7"/>
      <c r="E658" s="7"/>
    </row>
    <row r="659" spans="4:5" x14ac:dyDescent="0.3">
      <c r="D659" s="7"/>
      <c r="E659" s="7"/>
    </row>
    <row r="660" spans="4:5" x14ac:dyDescent="0.3">
      <c r="D660" s="7"/>
      <c r="E660" s="7"/>
    </row>
    <row r="661" spans="4:5" x14ac:dyDescent="0.3">
      <c r="D661" s="7"/>
      <c r="E661" s="7"/>
    </row>
    <row r="662" spans="4:5" x14ac:dyDescent="0.3">
      <c r="D662" s="7"/>
      <c r="E662" s="7"/>
    </row>
    <row r="663" spans="4:5" x14ac:dyDescent="0.3">
      <c r="D663" s="7"/>
      <c r="E663" s="7"/>
    </row>
    <row r="664" spans="4:5" x14ac:dyDescent="0.3">
      <c r="D664" s="7"/>
      <c r="E664" s="7"/>
    </row>
    <row r="665" spans="4:5" x14ac:dyDescent="0.3">
      <c r="D665" s="7"/>
      <c r="E665" s="7"/>
    </row>
    <row r="666" spans="4:5" x14ac:dyDescent="0.3">
      <c r="D666" s="7"/>
      <c r="E666" s="7"/>
    </row>
    <row r="667" spans="4:5" x14ac:dyDescent="0.3">
      <c r="D667" s="7"/>
      <c r="E667" s="7"/>
    </row>
    <row r="668" spans="4:5" x14ac:dyDescent="0.3">
      <c r="D668" s="7"/>
      <c r="E668" s="7"/>
    </row>
    <row r="669" spans="4:5" x14ac:dyDescent="0.3">
      <c r="D669" s="7"/>
      <c r="E669" s="7"/>
    </row>
    <row r="670" spans="4:5" x14ac:dyDescent="0.3">
      <c r="D670" s="7"/>
      <c r="E670" s="7"/>
    </row>
    <row r="671" spans="4:5" x14ac:dyDescent="0.3">
      <c r="D671" s="7"/>
      <c r="E671" s="7"/>
    </row>
    <row r="672" spans="4:5" x14ac:dyDescent="0.3">
      <c r="D672" s="7"/>
      <c r="E672" s="7"/>
    </row>
    <row r="673" spans="4:5" x14ac:dyDescent="0.3">
      <c r="D673" s="7"/>
      <c r="E673" s="7"/>
    </row>
    <row r="674" spans="4:5" x14ac:dyDescent="0.3">
      <c r="D674" s="7"/>
      <c r="E674" s="7"/>
    </row>
    <row r="675" spans="4:5" x14ac:dyDescent="0.3">
      <c r="D675" s="7"/>
      <c r="E675" s="7"/>
    </row>
    <row r="676" spans="4:5" x14ac:dyDescent="0.3">
      <c r="D676" s="7"/>
      <c r="E676" s="7"/>
    </row>
    <row r="677" spans="4:5" x14ac:dyDescent="0.3">
      <c r="D677" s="7"/>
      <c r="E677" s="7"/>
    </row>
    <row r="678" spans="4:5" x14ac:dyDescent="0.3">
      <c r="D678" s="7"/>
      <c r="E678" s="7"/>
    </row>
    <row r="679" spans="4:5" x14ac:dyDescent="0.3">
      <c r="D679" s="7"/>
      <c r="E679" s="7"/>
    </row>
    <row r="680" spans="4:5" x14ac:dyDescent="0.3">
      <c r="D680" s="7"/>
      <c r="E680" s="7"/>
    </row>
    <row r="681" spans="4:5" x14ac:dyDescent="0.3">
      <c r="D681" s="7"/>
      <c r="E681" s="7"/>
    </row>
    <row r="682" spans="4:5" x14ac:dyDescent="0.3">
      <c r="D682" s="7"/>
      <c r="E682" s="7"/>
    </row>
    <row r="683" spans="4:5" x14ac:dyDescent="0.3">
      <c r="D683" s="7"/>
      <c r="E683" s="7"/>
    </row>
    <row r="684" spans="4:5" x14ac:dyDescent="0.3">
      <c r="D684" s="7"/>
      <c r="E684" s="7"/>
    </row>
    <row r="685" spans="4:5" x14ac:dyDescent="0.3">
      <c r="D685" s="7"/>
      <c r="E685" s="7"/>
    </row>
    <row r="686" spans="4:5" x14ac:dyDescent="0.3">
      <c r="D686" s="7"/>
      <c r="E686" s="7"/>
    </row>
    <row r="687" spans="4:5" x14ac:dyDescent="0.3">
      <c r="D687" s="7"/>
      <c r="E687" s="7"/>
    </row>
    <row r="688" spans="4:5" x14ac:dyDescent="0.3">
      <c r="D688" s="7"/>
      <c r="E688" s="7"/>
    </row>
    <row r="689" spans="4:5" x14ac:dyDescent="0.3">
      <c r="D689" s="7"/>
      <c r="E689" s="7"/>
    </row>
    <row r="690" spans="4:5" x14ac:dyDescent="0.3">
      <c r="D690" s="7"/>
      <c r="E690" s="7"/>
    </row>
    <row r="691" spans="4:5" x14ac:dyDescent="0.3">
      <c r="D691" s="7"/>
      <c r="E691" s="7"/>
    </row>
    <row r="692" spans="4:5" x14ac:dyDescent="0.3">
      <c r="D692" s="7"/>
      <c r="E692" s="7"/>
    </row>
    <row r="693" spans="4:5" x14ac:dyDescent="0.3">
      <c r="D693" s="7"/>
      <c r="E693" s="7"/>
    </row>
    <row r="694" spans="4:5" x14ac:dyDescent="0.3">
      <c r="D694" s="7"/>
      <c r="E694" s="7"/>
    </row>
    <row r="695" spans="4:5" x14ac:dyDescent="0.3">
      <c r="D695" s="7"/>
      <c r="E695" s="7"/>
    </row>
    <row r="696" spans="4:5" x14ac:dyDescent="0.3">
      <c r="D696" s="7"/>
      <c r="E696" s="7"/>
    </row>
    <row r="697" spans="4:5" x14ac:dyDescent="0.3">
      <c r="D697" s="7"/>
      <c r="E697" s="7"/>
    </row>
    <row r="698" spans="4:5" x14ac:dyDescent="0.3">
      <c r="D698" s="7"/>
      <c r="E698" s="7"/>
    </row>
    <row r="699" spans="4:5" x14ac:dyDescent="0.3">
      <c r="D699" s="7"/>
      <c r="E699" s="7"/>
    </row>
    <row r="700" spans="4:5" x14ac:dyDescent="0.3">
      <c r="D700" s="7"/>
      <c r="E700" s="7"/>
    </row>
    <row r="701" spans="4:5" x14ac:dyDescent="0.3">
      <c r="D701" s="7"/>
      <c r="E701" s="7"/>
    </row>
    <row r="702" spans="4:5" x14ac:dyDescent="0.3">
      <c r="D702" s="7"/>
      <c r="E702" s="7"/>
    </row>
    <row r="703" spans="4:5" x14ac:dyDescent="0.3">
      <c r="D703" s="7"/>
      <c r="E703" s="7"/>
    </row>
    <row r="704" spans="4:5" x14ac:dyDescent="0.3">
      <c r="D704" s="7"/>
      <c r="E704" s="7"/>
    </row>
    <row r="705" spans="4:5" x14ac:dyDescent="0.3">
      <c r="D705" s="7"/>
      <c r="E705" s="7"/>
    </row>
    <row r="706" spans="4:5" x14ac:dyDescent="0.3">
      <c r="D706" s="7"/>
      <c r="E706" s="7"/>
    </row>
    <row r="707" spans="4:5" x14ac:dyDescent="0.3">
      <c r="D707" s="7"/>
      <c r="E707" s="7"/>
    </row>
    <row r="708" spans="4:5" x14ac:dyDescent="0.3">
      <c r="D708" s="7"/>
      <c r="E708" s="7"/>
    </row>
    <row r="709" spans="4:5" x14ac:dyDescent="0.3">
      <c r="D709" s="7"/>
      <c r="E709" s="7"/>
    </row>
    <row r="710" spans="4:5" x14ac:dyDescent="0.3">
      <c r="D710" s="7"/>
      <c r="E710" s="7"/>
    </row>
    <row r="711" spans="4:5" x14ac:dyDescent="0.3">
      <c r="D711" s="7"/>
      <c r="E711" s="7"/>
    </row>
    <row r="712" spans="4:5" x14ac:dyDescent="0.3">
      <c r="D712" s="7"/>
      <c r="E712" s="7"/>
    </row>
    <row r="713" spans="4:5" x14ac:dyDescent="0.3">
      <c r="D713" s="7"/>
      <c r="E713" s="7"/>
    </row>
    <row r="714" spans="4:5" x14ac:dyDescent="0.3">
      <c r="D714" s="7"/>
      <c r="E714" s="7"/>
    </row>
    <row r="715" spans="4:5" x14ac:dyDescent="0.3">
      <c r="D715" s="7"/>
      <c r="E715" s="7"/>
    </row>
    <row r="716" spans="4:5" x14ac:dyDescent="0.3">
      <c r="D716" s="7"/>
      <c r="E716" s="7"/>
    </row>
    <row r="717" spans="4:5" x14ac:dyDescent="0.3">
      <c r="D717" s="7"/>
      <c r="E717" s="7"/>
    </row>
    <row r="718" spans="4:5" x14ac:dyDescent="0.3">
      <c r="D718" s="7"/>
      <c r="E718" s="7"/>
    </row>
    <row r="719" spans="4:5" x14ac:dyDescent="0.3">
      <c r="D719" s="7"/>
      <c r="E719" s="7"/>
    </row>
    <row r="720" spans="4:5" x14ac:dyDescent="0.3">
      <c r="D720" s="7"/>
      <c r="E720" s="7"/>
    </row>
    <row r="721" spans="4:5" x14ac:dyDescent="0.3">
      <c r="D721" s="7"/>
      <c r="E721" s="7"/>
    </row>
    <row r="722" spans="4:5" x14ac:dyDescent="0.3">
      <c r="D722" s="7"/>
      <c r="E722" s="7"/>
    </row>
    <row r="723" spans="4:5" x14ac:dyDescent="0.3">
      <c r="D723" s="7"/>
      <c r="E723" s="7"/>
    </row>
    <row r="724" spans="4:5" x14ac:dyDescent="0.3">
      <c r="D724" s="7"/>
      <c r="E724" s="7"/>
    </row>
    <row r="725" spans="4:5" x14ac:dyDescent="0.3">
      <c r="D725" s="7"/>
      <c r="E725" s="7"/>
    </row>
    <row r="726" spans="4:5" x14ac:dyDescent="0.3">
      <c r="D726" s="7"/>
      <c r="E726" s="7"/>
    </row>
    <row r="727" spans="4:5" x14ac:dyDescent="0.3">
      <c r="D727" s="7"/>
      <c r="E727" s="7"/>
    </row>
    <row r="728" spans="4:5" x14ac:dyDescent="0.3">
      <c r="D728" s="7"/>
      <c r="E728" s="7"/>
    </row>
    <row r="729" spans="4:5" x14ac:dyDescent="0.3">
      <c r="D729" s="7"/>
      <c r="E729" s="7"/>
    </row>
    <row r="730" spans="4:5" x14ac:dyDescent="0.3">
      <c r="D730" s="7"/>
      <c r="E730" s="7"/>
    </row>
    <row r="731" spans="4:5" x14ac:dyDescent="0.3">
      <c r="D731" s="7"/>
      <c r="E731" s="7"/>
    </row>
    <row r="732" spans="4:5" x14ac:dyDescent="0.3">
      <c r="D732" s="7"/>
      <c r="E732" s="7"/>
    </row>
    <row r="733" spans="4:5" x14ac:dyDescent="0.3">
      <c r="D733" s="7"/>
      <c r="E733" s="7"/>
    </row>
    <row r="734" spans="4:5" x14ac:dyDescent="0.3">
      <c r="D734" s="7"/>
      <c r="E734" s="7"/>
    </row>
    <row r="735" spans="4:5" x14ac:dyDescent="0.3">
      <c r="D735" s="7"/>
      <c r="E735" s="7"/>
    </row>
    <row r="736" spans="4:5" x14ac:dyDescent="0.3">
      <c r="D736" s="7"/>
      <c r="E736" s="7"/>
    </row>
    <row r="737" spans="4:5" x14ac:dyDescent="0.3">
      <c r="D737" s="7"/>
      <c r="E737" s="7"/>
    </row>
    <row r="738" spans="4:5" x14ac:dyDescent="0.3">
      <c r="D738" s="7"/>
      <c r="E738" s="7"/>
    </row>
    <row r="739" spans="4:5" x14ac:dyDescent="0.3">
      <c r="D739" s="7"/>
      <c r="E739" s="7"/>
    </row>
    <row r="740" spans="4:5" x14ac:dyDescent="0.3">
      <c r="D740" s="7"/>
      <c r="E740" s="7"/>
    </row>
    <row r="741" spans="4:5" x14ac:dyDescent="0.3">
      <c r="D741" s="7"/>
      <c r="E741" s="7"/>
    </row>
    <row r="742" spans="4:5" x14ac:dyDescent="0.3">
      <c r="D742" s="7"/>
      <c r="E742" s="7"/>
    </row>
    <row r="743" spans="4:5" x14ac:dyDescent="0.3">
      <c r="D743" s="7"/>
      <c r="E743" s="7"/>
    </row>
    <row r="744" spans="4:5" x14ac:dyDescent="0.3">
      <c r="D744" s="7"/>
      <c r="E744" s="7"/>
    </row>
    <row r="745" spans="4:5" x14ac:dyDescent="0.3">
      <c r="D745" s="7"/>
      <c r="E745" s="7"/>
    </row>
    <row r="746" spans="4:5" x14ac:dyDescent="0.3">
      <c r="D746" s="7"/>
      <c r="E746" s="7"/>
    </row>
    <row r="747" spans="4:5" x14ac:dyDescent="0.3">
      <c r="D747" s="7"/>
      <c r="E747" s="7"/>
    </row>
    <row r="748" spans="4:5" x14ac:dyDescent="0.3">
      <c r="D748" s="7"/>
      <c r="E748" s="7"/>
    </row>
    <row r="749" spans="4:5" x14ac:dyDescent="0.3">
      <c r="D749" s="7"/>
      <c r="E749" s="7"/>
    </row>
    <row r="750" spans="4:5" x14ac:dyDescent="0.3">
      <c r="D750" s="7"/>
      <c r="E750" s="7"/>
    </row>
    <row r="751" spans="4:5" x14ac:dyDescent="0.3">
      <c r="D751" s="7"/>
      <c r="E751" s="7"/>
    </row>
    <row r="752" spans="4:5" x14ac:dyDescent="0.3">
      <c r="D752" s="7"/>
      <c r="E752" s="7"/>
    </row>
    <row r="753" spans="4:5" x14ac:dyDescent="0.3">
      <c r="D753" s="7"/>
      <c r="E753" s="7"/>
    </row>
    <row r="754" spans="4:5" x14ac:dyDescent="0.3">
      <c r="D754" s="7"/>
      <c r="E754" s="7"/>
    </row>
    <row r="755" spans="4:5" x14ac:dyDescent="0.3">
      <c r="D755" s="7"/>
      <c r="E755" s="7"/>
    </row>
    <row r="756" spans="4:5" x14ac:dyDescent="0.3">
      <c r="D756" s="7"/>
      <c r="E756" s="7"/>
    </row>
    <row r="757" spans="4:5" x14ac:dyDescent="0.3">
      <c r="D757" s="7"/>
      <c r="E757" s="7"/>
    </row>
    <row r="758" spans="4:5" x14ac:dyDescent="0.3">
      <c r="D758" s="7"/>
      <c r="E758" s="7"/>
    </row>
    <row r="759" spans="4:5" x14ac:dyDescent="0.3">
      <c r="D759" s="7"/>
      <c r="E759" s="7"/>
    </row>
    <row r="760" spans="4:5" x14ac:dyDescent="0.3">
      <c r="D760" s="7"/>
      <c r="E760" s="7"/>
    </row>
    <row r="761" spans="4:5" x14ac:dyDescent="0.3">
      <c r="D761" s="7"/>
      <c r="E761" s="7"/>
    </row>
    <row r="762" spans="4:5" x14ac:dyDescent="0.3">
      <c r="D762" s="7"/>
      <c r="E762" s="7"/>
    </row>
    <row r="763" spans="4:5" x14ac:dyDescent="0.3">
      <c r="D763" s="7"/>
      <c r="E763" s="7"/>
    </row>
    <row r="764" spans="4:5" x14ac:dyDescent="0.3">
      <c r="D764" s="7"/>
      <c r="E764" s="7"/>
    </row>
    <row r="765" spans="4:5" x14ac:dyDescent="0.3">
      <c r="D765" s="7"/>
      <c r="E765" s="7"/>
    </row>
    <row r="766" spans="4:5" x14ac:dyDescent="0.3">
      <c r="D766" s="7"/>
      <c r="E766" s="7"/>
    </row>
    <row r="767" spans="4:5" x14ac:dyDescent="0.3">
      <c r="D767" s="7"/>
      <c r="E767" s="7"/>
    </row>
    <row r="768" spans="4:5" x14ac:dyDescent="0.3">
      <c r="D768" s="7"/>
      <c r="E768" s="7"/>
    </row>
    <row r="769" spans="4:5" x14ac:dyDescent="0.3">
      <c r="D769" s="7"/>
      <c r="E769" s="7"/>
    </row>
    <row r="770" spans="4:5" x14ac:dyDescent="0.3">
      <c r="D770" s="7"/>
      <c r="E770" s="7"/>
    </row>
    <row r="771" spans="4:5" x14ac:dyDescent="0.3">
      <c r="D771" s="7"/>
      <c r="E771" s="7"/>
    </row>
    <row r="772" spans="4:5" x14ac:dyDescent="0.3">
      <c r="D772" s="7"/>
      <c r="E772" s="7"/>
    </row>
    <row r="773" spans="4:5" x14ac:dyDescent="0.3">
      <c r="D773" s="7"/>
      <c r="E773" s="7"/>
    </row>
    <row r="774" spans="4:5" x14ac:dyDescent="0.3">
      <c r="D774" s="7"/>
      <c r="E774" s="7"/>
    </row>
    <row r="775" spans="4:5" x14ac:dyDescent="0.3">
      <c r="D775" s="7"/>
      <c r="E775" s="7"/>
    </row>
    <row r="776" spans="4:5" x14ac:dyDescent="0.3">
      <c r="D776" s="7"/>
      <c r="E776" s="7"/>
    </row>
    <row r="777" spans="4:5" x14ac:dyDescent="0.3">
      <c r="D777" s="7"/>
      <c r="E777" s="7"/>
    </row>
    <row r="778" spans="4:5" x14ac:dyDescent="0.3">
      <c r="D778" s="7"/>
      <c r="E778" s="7"/>
    </row>
    <row r="779" spans="4:5" x14ac:dyDescent="0.3">
      <c r="D779" s="7"/>
      <c r="E779" s="7"/>
    </row>
    <row r="780" spans="4:5" x14ac:dyDescent="0.3">
      <c r="D780" s="7"/>
      <c r="E780" s="7"/>
    </row>
    <row r="781" spans="4:5" x14ac:dyDescent="0.3">
      <c r="D781" s="7"/>
      <c r="E781" s="7"/>
    </row>
    <row r="782" spans="4:5" x14ac:dyDescent="0.3">
      <c r="D782" s="7"/>
      <c r="E782" s="7"/>
    </row>
    <row r="783" spans="4:5" x14ac:dyDescent="0.3">
      <c r="D783" s="7"/>
      <c r="E783" s="7"/>
    </row>
    <row r="784" spans="4:5" x14ac:dyDescent="0.3">
      <c r="D784" s="7"/>
      <c r="E784" s="7"/>
    </row>
    <row r="785" spans="4:5" x14ac:dyDescent="0.3">
      <c r="D785" s="7"/>
      <c r="E785" s="7"/>
    </row>
    <row r="786" spans="4:5" x14ac:dyDescent="0.3">
      <c r="D786" s="7"/>
      <c r="E786" s="7"/>
    </row>
    <row r="787" spans="4:5" x14ac:dyDescent="0.3">
      <c r="D787" s="7"/>
      <c r="E787" s="7"/>
    </row>
    <row r="788" spans="4:5" x14ac:dyDescent="0.3">
      <c r="D788" s="7"/>
      <c r="E788" s="7"/>
    </row>
    <row r="789" spans="4:5" x14ac:dyDescent="0.3">
      <c r="D789" s="7"/>
      <c r="E789" s="7"/>
    </row>
    <row r="790" spans="4:5" x14ac:dyDescent="0.3">
      <c r="D790" s="7"/>
      <c r="E790" s="7"/>
    </row>
    <row r="791" spans="4:5" x14ac:dyDescent="0.3">
      <c r="D791" s="7"/>
      <c r="E791" s="7"/>
    </row>
    <row r="792" spans="4:5" x14ac:dyDescent="0.3">
      <c r="D792" s="7"/>
      <c r="E792" s="7"/>
    </row>
    <row r="793" spans="4:5" x14ac:dyDescent="0.3">
      <c r="D793" s="7"/>
      <c r="E793" s="7"/>
    </row>
    <row r="794" spans="4:5" x14ac:dyDescent="0.3">
      <c r="D794" s="7"/>
      <c r="E794" s="7"/>
    </row>
    <row r="795" spans="4:5" x14ac:dyDescent="0.3">
      <c r="D795" s="7"/>
      <c r="E795" s="7"/>
    </row>
    <row r="796" spans="4:5" x14ac:dyDescent="0.3">
      <c r="D796" s="7"/>
      <c r="E796" s="7"/>
    </row>
    <row r="797" spans="4:5" x14ac:dyDescent="0.3">
      <c r="D797" s="7"/>
      <c r="E797" s="7"/>
    </row>
    <row r="798" spans="4:5" x14ac:dyDescent="0.3">
      <c r="D798" s="7"/>
      <c r="E798" s="7"/>
    </row>
    <row r="799" spans="4:5" x14ac:dyDescent="0.3">
      <c r="D799" s="7"/>
      <c r="E799" s="7"/>
    </row>
    <row r="800" spans="4:5" x14ac:dyDescent="0.3">
      <c r="D800" s="7"/>
      <c r="E800" s="7"/>
    </row>
    <row r="801" spans="4:5" x14ac:dyDescent="0.3">
      <c r="D801" s="7"/>
      <c r="E801" s="7"/>
    </row>
    <row r="802" spans="4:5" x14ac:dyDescent="0.3">
      <c r="D802" s="7"/>
      <c r="E802" s="7"/>
    </row>
    <row r="803" spans="4:5" x14ac:dyDescent="0.3">
      <c r="D803" s="7"/>
      <c r="E803" s="7"/>
    </row>
    <row r="804" spans="4:5" x14ac:dyDescent="0.3">
      <c r="D804" s="7"/>
      <c r="E804" s="7"/>
    </row>
    <row r="805" spans="4:5" x14ac:dyDescent="0.3">
      <c r="D805" s="7"/>
      <c r="E805" s="7"/>
    </row>
    <row r="806" spans="4:5" x14ac:dyDescent="0.3">
      <c r="D806" s="7"/>
      <c r="E806" s="7"/>
    </row>
    <row r="807" spans="4:5" x14ac:dyDescent="0.3">
      <c r="D807" s="7"/>
      <c r="E807" s="7"/>
    </row>
    <row r="808" spans="4:5" x14ac:dyDescent="0.3">
      <c r="D808" s="7"/>
      <c r="E808" s="7"/>
    </row>
    <row r="809" spans="4:5" x14ac:dyDescent="0.3">
      <c r="D809" s="7"/>
      <c r="E809" s="7"/>
    </row>
    <row r="810" spans="4:5" x14ac:dyDescent="0.3">
      <c r="D810" s="7"/>
      <c r="E810" s="7"/>
    </row>
    <row r="811" spans="4:5" x14ac:dyDescent="0.3">
      <c r="D811" s="7"/>
      <c r="E811" s="7"/>
    </row>
    <row r="812" spans="4:5" x14ac:dyDescent="0.3">
      <c r="D812" s="7"/>
      <c r="E812" s="7"/>
    </row>
    <row r="813" spans="4:5" x14ac:dyDescent="0.3">
      <c r="D813" s="7"/>
      <c r="E813" s="7"/>
    </row>
    <row r="814" spans="4:5" x14ac:dyDescent="0.3">
      <c r="D814" s="7"/>
      <c r="E814" s="7"/>
    </row>
    <row r="815" spans="4:5" x14ac:dyDescent="0.3">
      <c r="D815" s="7"/>
      <c r="E815" s="7"/>
    </row>
    <row r="816" spans="4:5" x14ac:dyDescent="0.3">
      <c r="D816" s="7"/>
      <c r="E816" s="7"/>
    </row>
    <row r="817" spans="4:5" x14ac:dyDescent="0.3">
      <c r="D817" s="7"/>
      <c r="E817" s="7"/>
    </row>
    <row r="818" spans="4:5" x14ac:dyDescent="0.3">
      <c r="D818" s="7"/>
      <c r="E818" s="7"/>
    </row>
    <row r="819" spans="4:5" x14ac:dyDescent="0.3">
      <c r="D819" s="7"/>
      <c r="E819" s="7"/>
    </row>
    <row r="820" spans="4:5" x14ac:dyDescent="0.3">
      <c r="D820" s="7"/>
      <c r="E820" s="7"/>
    </row>
    <row r="821" spans="4:5" x14ac:dyDescent="0.3">
      <c r="D821" s="7"/>
      <c r="E821" s="7"/>
    </row>
    <row r="822" spans="4:5" x14ac:dyDescent="0.3">
      <c r="D822" s="7"/>
      <c r="E822" s="7"/>
    </row>
    <row r="823" spans="4:5" x14ac:dyDescent="0.3">
      <c r="D823" s="7"/>
      <c r="E823" s="7"/>
    </row>
    <row r="824" spans="4:5" x14ac:dyDescent="0.3">
      <c r="D824" s="7"/>
      <c r="E824" s="7"/>
    </row>
    <row r="825" spans="4:5" x14ac:dyDescent="0.3">
      <c r="D825" s="7"/>
      <c r="E825" s="7"/>
    </row>
    <row r="826" spans="4:5" x14ac:dyDescent="0.3">
      <c r="D826" s="7"/>
      <c r="E826" s="7"/>
    </row>
    <row r="827" spans="4:5" x14ac:dyDescent="0.3">
      <c r="D827" s="7"/>
      <c r="E827" s="7"/>
    </row>
    <row r="828" spans="4:5" x14ac:dyDescent="0.3">
      <c r="D828" s="7"/>
      <c r="E828" s="7"/>
    </row>
    <row r="829" spans="4:5" x14ac:dyDescent="0.3">
      <c r="D829" s="7"/>
      <c r="E829" s="7"/>
    </row>
    <row r="830" spans="4:5" x14ac:dyDescent="0.3">
      <c r="D830" s="7"/>
      <c r="E830" s="7"/>
    </row>
    <row r="831" spans="4:5" x14ac:dyDescent="0.3">
      <c r="D831" s="7"/>
      <c r="E831" s="7"/>
    </row>
    <row r="832" spans="4:5" x14ac:dyDescent="0.3">
      <c r="D832" s="7"/>
      <c r="E832" s="7"/>
    </row>
    <row r="833" spans="4:5" x14ac:dyDescent="0.3">
      <c r="D833" s="7"/>
      <c r="E833" s="7"/>
    </row>
    <row r="834" spans="4:5" x14ac:dyDescent="0.3">
      <c r="D834" s="7"/>
      <c r="E834" s="7"/>
    </row>
    <row r="835" spans="4:5" x14ac:dyDescent="0.3">
      <c r="D835" s="7"/>
      <c r="E835" s="7"/>
    </row>
    <row r="836" spans="4:5" x14ac:dyDescent="0.3">
      <c r="D836" s="7"/>
      <c r="E836" s="7"/>
    </row>
    <row r="837" spans="4:5" x14ac:dyDescent="0.3">
      <c r="D837" s="7"/>
      <c r="E837" s="7"/>
    </row>
    <row r="838" spans="4:5" x14ac:dyDescent="0.3">
      <c r="D838" s="7"/>
      <c r="E838" s="7"/>
    </row>
    <row r="839" spans="4:5" x14ac:dyDescent="0.3">
      <c r="D839" s="7"/>
      <c r="E839" s="7"/>
    </row>
    <row r="840" spans="4:5" x14ac:dyDescent="0.3">
      <c r="D840" s="7"/>
      <c r="E840" s="7"/>
    </row>
    <row r="841" spans="4:5" x14ac:dyDescent="0.3">
      <c r="D841" s="7"/>
      <c r="E841" s="7"/>
    </row>
    <row r="842" spans="4:5" x14ac:dyDescent="0.3">
      <c r="D842" s="7"/>
      <c r="E842" s="7"/>
    </row>
    <row r="843" spans="4:5" x14ac:dyDescent="0.3">
      <c r="D843" s="7"/>
      <c r="E843" s="7"/>
    </row>
    <row r="844" spans="4:5" x14ac:dyDescent="0.3">
      <c r="D844" s="7"/>
      <c r="E844" s="7"/>
    </row>
    <row r="845" spans="4:5" x14ac:dyDescent="0.3">
      <c r="D845" s="7"/>
      <c r="E845" s="7"/>
    </row>
    <row r="846" spans="4:5" x14ac:dyDescent="0.3">
      <c r="D846" s="7"/>
      <c r="E846" s="7"/>
    </row>
    <row r="847" spans="4:5" x14ac:dyDescent="0.3">
      <c r="D847" s="7"/>
      <c r="E847" s="7"/>
    </row>
    <row r="848" spans="4:5" x14ac:dyDescent="0.3">
      <c r="D848" s="7"/>
      <c r="E848" s="7"/>
    </row>
    <row r="849" spans="4:5" x14ac:dyDescent="0.3">
      <c r="D849" s="7"/>
      <c r="E849" s="7"/>
    </row>
    <row r="850" spans="4:5" x14ac:dyDescent="0.3">
      <c r="D850" s="7"/>
      <c r="E850" s="7"/>
    </row>
    <row r="851" spans="4:5" x14ac:dyDescent="0.3">
      <c r="D851" s="7"/>
      <c r="E851" s="7"/>
    </row>
    <row r="852" spans="4:5" x14ac:dyDescent="0.3">
      <c r="D852" s="7"/>
      <c r="E852" s="7"/>
    </row>
    <row r="853" spans="4:5" x14ac:dyDescent="0.3">
      <c r="D853" s="7"/>
      <c r="E853" s="7"/>
    </row>
    <row r="854" spans="4:5" x14ac:dyDescent="0.3">
      <c r="D854" s="7"/>
      <c r="E854" s="7"/>
    </row>
    <row r="855" spans="4:5" x14ac:dyDescent="0.3">
      <c r="D855" s="7"/>
      <c r="E855" s="7"/>
    </row>
    <row r="856" spans="4:5" x14ac:dyDescent="0.3">
      <c r="D856" s="7"/>
      <c r="E856" s="7"/>
    </row>
    <row r="857" spans="4:5" x14ac:dyDescent="0.3">
      <c r="D857" s="7"/>
      <c r="E857" s="7"/>
    </row>
    <row r="858" spans="4:5" x14ac:dyDescent="0.3">
      <c r="D858" s="7"/>
      <c r="E858" s="7"/>
    </row>
    <row r="859" spans="4:5" x14ac:dyDescent="0.3">
      <c r="D859" s="7"/>
      <c r="E859" s="7"/>
    </row>
    <row r="860" spans="4:5" x14ac:dyDescent="0.3">
      <c r="D860" s="7"/>
      <c r="E860" s="7"/>
    </row>
    <row r="861" spans="4:5" x14ac:dyDescent="0.3">
      <c r="D861" s="7"/>
      <c r="E861" s="7"/>
    </row>
    <row r="862" spans="4:5" x14ac:dyDescent="0.3">
      <c r="D862" s="7"/>
      <c r="E862" s="7"/>
    </row>
    <row r="863" spans="4:5" x14ac:dyDescent="0.3">
      <c r="D863" s="7"/>
      <c r="E863" s="7"/>
    </row>
    <row r="864" spans="4:5" x14ac:dyDescent="0.3">
      <c r="D864" s="7"/>
      <c r="E864" s="7"/>
    </row>
    <row r="865" spans="4:5" x14ac:dyDescent="0.3">
      <c r="D865" s="7"/>
      <c r="E865" s="7"/>
    </row>
    <row r="866" spans="4:5" x14ac:dyDescent="0.3">
      <c r="D866" s="7"/>
      <c r="E866" s="7"/>
    </row>
    <row r="867" spans="4:5" x14ac:dyDescent="0.3">
      <c r="D867" s="7"/>
      <c r="E867" s="7"/>
    </row>
    <row r="868" spans="4:5" x14ac:dyDescent="0.3">
      <c r="D868" s="7"/>
      <c r="E868" s="7"/>
    </row>
    <row r="869" spans="4:5" x14ac:dyDescent="0.3">
      <c r="D869" s="7"/>
      <c r="E869" s="7"/>
    </row>
    <row r="870" spans="4:5" x14ac:dyDescent="0.3">
      <c r="D870" s="7"/>
      <c r="E870" s="7"/>
    </row>
    <row r="871" spans="4:5" x14ac:dyDescent="0.3">
      <c r="D871" s="7"/>
      <c r="E871" s="7"/>
    </row>
    <row r="872" spans="4:5" x14ac:dyDescent="0.3">
      <c r="D872" s="7"/>
      <c r="E872" s="7"/>
    </row>
    <row r="873" spans="4:5" x14ac:dyDescent="0.3">
      <c r="D873" s="7"/>
      <c r="E873" s="7"/>
    </row>
    <row r="874" spans="4:5" x14ac:dyDescent="0.3">
      <c r="D874" s="7"/>
      <c r="E874" s="7"/>
    </row>
    <row r="875" spans="4:5" x14ac:dyDescent="0.3">
      <c r="D875" s="7"/>
      <c r="E875" s="7"/>
    </row>
    <row r="876" spans="4:5" x14ac:dyDescent="0.3">
      <c r="D876" s="7"/>
      <c r="E876" s="7"/>
    </row>
    <row r="877" spans="4:5" x14ac:dyDescent="0.3">
      <c r="D877" s="7"/>
      <c r="E877" s="7"/>
    </row>
    <row r="878" spans="4:5" x14ac:dyDescent="0.3">
      <c r="D878" s="7"/>
      <c r="E878" s="7"/>
    </row>
    <row r="879" spans="4:5" x14ac:dyDescent="0.3">
      <c r="D879" s="7"/>
      <c r="E879" s="7"/>
    </row>
    <row r="880" spans="4:5" x14ac:dyDescent="0.3">
      <c r="D880" s="7"/>
      <c r="E880" s="7"/>
    </row>
    <row r="881" spans="4:5" x14ac:dyDescent="0.3">
      <c r="D881" s="7"/>
      <c r="E881" s="7"/>
    </row>
    <row r="882" spans="4:5" x14ac:dyDescent="0.3">
      <c r="D882" s="7"/>
      <c r="E882" s="7"/>
    </row>
    <row r="883" spans="4:5" x14ac:dyDescent="0.3">
      <c r="D883" s="7"/>
      <c r="E883" s="7"/>
    </row>
    <row r="884" spans="4:5" x14ac:dyDescent="0.3">
      <c r="D884" s="7"/>
      <c r="E884" s="7"/>
    </row>
    <row r="885" spans="4:5" x14ac:dyDescent="0.3">
      <c r="D885" s="7"/>
      <c r="E885" s="7"/>
    </row>
    <row r="886" spans="4:5" x14ac:dyDescent="0.3">
      <c r="D886" s="7"/>
      <c r="E886" s="7"/>
    </row>
    <row r="887" spans="4:5" x14ac:dyDescent="0.3">
      <c r="D887" s="7"/>
      <c r="E887" s="7"/>
    </row>
    <row r="888" spans="4:5" x14ac:dyDescent="0.3">
      <c r="D888" s="7"/>
      <c r="E888" s="7"/>
    </row>
    <row r="889" spans="4:5" x14ac:dyDescent="0.3">
      <c r="D889" s="7"/>
      <c r="E889" s="7"/>
    </row>
    <row r="890" spans="4:5" x14ac:dyDescent="0.3">
      <c r="D890" s="7"/>
      <c r="E890" s="7"/>
    </row>
    <row r="891" spans="4:5" x14ac:dyDescent="0.3">
      <c r="D891" s="7"/>
      <c r="E891" s="7"/>
    </row>
    <row r="892" spans="4:5" x14ac:dyDescent="0.3">
      <c r="D892" s="7"/>
      <c r="E892" s="7"/>
    </row>
    <row r="893" spans="4:5" x14ac:dyDescent="0.3">
      <c r="D893" s="7"/>
      <c r="E893" s="7"/>
    </row>
    <row r="894" spans="4:5" x14ac:dyDescent="0.3">
      <c r="D894" s="7"/>
      <c r="E894" s="7"/>
    </row>
    <row r="895" spans="4:5" x14ac:dyDescent="0.3">
      <c r="D895" s="7"/>
      <c r="E895" s="7"/>
    </row>
    <row r="896" spans="4:5" x14ac:dyDescent="0.3">
      <c r="D896" s="7"/>
      <c r="E896" s="7"/>
    </row>
    <row r="897" spans="4:5" x14ac:dyDescent="0.3">
      <c r="D897" s="7"/>
      <c r="E897" s="7"/>
    </row>
    <row r="898" spans="4:5" x14ac:dyDescent="0.3">
      <c r="D898" s="7"/>
      <c r="E898" s="7"/>
    </row>
    <row r="899" spans="4:5" x14ac:dyDescent="0.3">
      <c r="D899" s="7"/>
      <c r="E899" s="7"/>
    </row>
    <row r="900" spans="4:5" x14ac:dyDescent="0.3">
      <c r="D900" s="7"/>
      <c r="E900" s="7"/>
    </row>
    <row r="901" spans="4:5" x14ac:dyDescent="0.3">
      <c r="D901" s="7"/>
      <c r="E901" s="7"/>
    </row>
    <row r="902" spans="4:5" x14ac:dyDescent="0.3">
      <c r="D902" s="7"/>
      <c r="E902" s="7"/>
    </row>
    <row r="903" spans="4:5" x14ac:dyDescent="0.3">
      <c r="D903" s="7"/>
      <c r="E903" s="7"/>
    </row>
    <row r="904" spans="4:5" x14ac:dyDescent="0.3">
      <c r="D904" s="7"/>
      <c r="E904" s="7"/>
    </row>
    <row r="905" spans="4:5" x14ac:dyDescent="0.3">
      <c r="D905" s="7"/>
      <c r="E905" s="7"/>
    </row>
    <row r="906" spans="4:5" x14ac:dyDescent="0.3">
      <c r="D906" s="7"/>
      <c r="E906" s="7"/>
    </row>
    <row r="907" spans="4:5" x14ac:dyDescent="0.3">
      <c r="D907" s="7"/>
      <c r="E907" s="7"/>
    </row>
    <row r="908" spans="4:5" x14ac:dyDescent="0.3">
      <c r="D908" s="7"/>
      <c r="E908" s="7"/>
    </row>
    <row r="909" spans="4:5" x14ac:dyDescent="0.3">
      <c r="D909" s="7"/>
      <c r="E909" s="7"/>
    </row>
    <row r="910" spans="4:5" x14ac:dyDescent="0.3">
      <c r="D910" s="7"/>
      <c r="E910" s="7"/>
    </row>
    <row r="911" spans="4:5" x14ac:dyDescent="0.3">
      <c r="D911" s="7"/>
      <c r="E911" s="7"/>
    </row>
    <row r="912" spans="4:5" x14ac:dyDescent="0.3">
      <c r="D912" s="7"/>
      <c r="E912" s="7"/>
    </row>
    <row r="913" spans="4:5" x14ac:dyDescent="0.3">
      <c r="D913" s="7"/>
      <c r="E913" s="7"/>
    </row>
    <row r="914" spans="4:5" x14ac:dyDescent="0.3">
      <c r="D914" s="7"/>
      <c r="E914" s="7"/>
    </row>
    <row r="915" spans="4:5" x14ac:dyDescent="0.3">
      <c r="D915" s="7"/>
      <c r="E915" s="7"/>
    </row>
    <row r="916" spans="4:5" x14ac:dyDescent="0.3">
      <c r="D916" s="7"/>
      <c r="E916" s="7"/>
    </row>
    <row r="917" spans="4:5" x14ac:dyDescent="0.3">
      <c r="D917" s="7"/>
      <c r="E917" s="7"/>
    </row>
    <row r="918" spans="4:5" x14ac:dyDescent="0.3">
      <c r="D918" s="7"/>
      <c r="E918" s="7"/>
    </row>
    <row r="919" spans="4:5" x14ac:dyDescent="0.3">
      <c r="D919" s="7"/>
      <c r="E919" s="7"/>
    </row>
    <row r="920" spans="4:5" x14ac:dyDescent="0.3">
      <c r="D920" s="7"/>
      <c r="E920" s="7"/>
    </row>
    <row r="921" spans="4:5" x14ac:dyDescent="0.3">
      <c r="D921" s="7"/>
      <c r="E921" s="7"/>
    </row>
    <row r="922" spans="4:5" x14ac:dyDescent="0.3">
      <c r="D922" s="7"/>
      <c r="E922" s="7"/>
    </row>
    <row r="923" spans="4:5" x14ac:dyDescent="0.3">
      <c r="D923" s="7"/>
      <c r="E923" s="7"/>
    </row>
    <row r="924" spans="4:5" x14ac:dyDescent="0.3">
      <c r="D924" s="7"/>
      <c r="E924" s="7"/>
    </row>
    <row r="925" spans="4:5" x14ac:dyDescent="0.3">
      <c r="D925" s="7"/>
      <c r="E925" s="7"/>
    </row>
    <row r="926" spans="4:5" x14ac:dyDescent="0.3">
      <c r="D926" s="7"/>
      <c r="E926" s="7"/>
    </row>
    <row r="927" spans="4:5" x14ac:dyDescent="0.3">
      <c r="D927" s="7"/>
      <c r="E927" s="7"/>
    </row>
    <row r="928" spans="4:5" x14ac:dyDescent="0.3">
      <c r="D928" s="7"/>
      <c r="E928" s="7"/>
    </row>
    <row r="929" spans="4:5" x14ac:dyDescent="0.3">
      <c r="D929" s="7"/>
      <c r="E929" s="7"/>
    </row>
    <row r="930" spans="4:5" x14ac:dyDescent="0.3">
      <c r="D930" s="7"/>
      <c r="E930" s="7"/>
    </row>
    <row r="931" spans="4:5" x14ac:dyDescent="0.3">
      <c r="D931" s="7"/>
      <c r="E931" s="7"/>
    </row>
    <row r="932" spans="4:5" x14ac:dyDescent="0.3">
      <c r="D932" s="7"/>
      <c r="E932" s="7"/>
    </row>
    <row r="933" spans="4:5" x14ac:dyDescent="0.3">
      <c r="D933" s="7"/>
      <c r="E933" s="7"/>
    </row>
    <row r="934" spans="4:5" x14ac:dyDescent="0.3">
      <c r="D934" s="7"/>
      <c r="E934" s="7"/>
    </row>
    <row r="935" spans="4:5" x14ac:dyDescent="0.3">
      <c r="D935" s="7"/>
      <c r="E935" s="7"/>
    </row>
    <row r="936" spans="4:5" x14ac:dyDescent="0.3">
      <c r="D936" s="7"/>
      <c r="E936" s="7"/>
    </row>
    <row r="937" spans="4:5" x14ac:dyDescent="0.3">
      <c r="D937" s="7"/>
      <c r="E937" s="7"/>
    </row>
    <row r="938" spans="4:5" x14ac:dyDescent="0.3">
      <c r="D938" s="7"/>
      <c r="E938" s="7"/>
    </row>
    <row r="939" spans="4:5" x14ac:dyDescent="0.3">
      <c r="D939" s="7"/>
      <c r="E939" s="7"/>
    </row>
    <row r="940" spans="4:5" x14ac:dyDescent="0.3">
      <c r="D940" s="7"/>
      <c r="E940" s="7"/>
    </row>
    <row r="941" spans="4:5" x14ac:dyDescent="0.3">
      <c r="D941" s="7"/>
      <c r="E941" s="7"/>
    </row>
    <row r="942" spans="4:5" x14ac:dyDescent="0.3">
      <c r="D942" s="7"/>
      <c r="E942" s="7"/>
    </row>
    <row r="943" spans="4:5" x14ac:dyDescent="0.3">
      <c r="D943" s="7"/>
      <c r="E943" s="7"/>
    </row>
    <row r="944" spans="4:5" x14ac:dyDescent="0.3">
      <c r="D944" s="7"/>
      <c r="E944" s="7"/>
    </row>
    <row r="945" spans="4:5" x14ac:dyDescent="0.3">
      <c r="D945" s="7"/>
      <c r="E945" s="7"/>
    </row>
    <row r="946" spans="4:5" x14ac:dyDescent="0.3">
      <c r="D946" s="7"/>
      <c r="E946" s="7"/>
    </row>
    <row r="947" spans="4:5" x14ac:dyDescent="0.3">
      <c r="D947" s="7"/>
      <c r="E947" s="7"/>
    </row>
    <row r="948" spans="4:5" x14ac:dyDescent="0.3">
      <c r="D948" s="7"/>
      <c r="E948" s="7"/>
    </row>
    <row r="949" spans="4:5" x14ac:dyDescent="0.3">
      <c r="D949" s="7"/>
      <c r="E949" s="7"/>
    </row>
    <row r="950" spans="4:5" x14ac:dyDescent="0.3">
      <c r="D950" s="7"/>
      <c r="E950" s="7"/>
    </row>
    <row r="951" spans="4:5" x14ac:dyDescent="0.3">
      <c r="D951" s="7"/>
      <c r="E951" s="7"/>
    </row>
    <row r="952" spans="4:5" x14ac:dyDescent="0.3">
      <c r="D952" s="7"/>
      <c r="E952" s="7"/>
    </row>
    <row r="953" spans="4:5" x14ac:dyDescent="0.3">
      <c r="D953" s="7"/>
      <c r="E953" s="7"/>
    </row>
    <row r="954" spans="4:5" x14ac:dyDescent="0.3">
      <c r="D954" s="7"/>
      <c r="E954" s="7"/>
    </row>
    <row r="955" spans="4:5" x14ac:dyDescent="0.3">
      <c r="D955" s="7"/>
      <c r="E955" s="7"/>
    </row>
  </sheetData>
  <autoFilter ref="A1:L325" xr:uid="{7BF63059-E484-422E-9347-FA815896A0B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84"/>
  <sheetViews>
    <sheetView showGridLines="0" zoomScale="80" zoomScaleNormal="80" workbookViewId="0">
      <selection activeCell="W13" sqref="W13"/>
    </sheetView>
  </sheetViews>
  <sheetFormatPr defaultRowHeight="14.4" x14ac:dyDescent="0.3"/>
  <cols>
    <col min="1" max="1" width="32.44140625" bestFit="1" customWidth="1"/>
    <col min="2" max="2" width="16.33203125" style="8" bestFit="1" customWidth="1"/>
    <col min="3" max="3" width="10" bestFit="1" customWidth="1"/>
    <col min="6" max="7" width="11.44140625" bestFit="1" customWidth="1"/>
    <col min="13" max="13" width="10.109375" customWidth="1"/>
    <col min="25" max="25" width="9" bestFit="1" customWidth="1"/>
    <col min="37" max="37" width="0" hidden="1" customWidth="1"/>
    <col min="38" max="38" width="19.33203125" hidden="1" customWidth="1"/>
    <col min="39" max="39" width="19.6640625" hidden="1" customWidth="1"/>
    <col min="40" max="42" width="0" hidden="1" customWidth="1"/>
    <col min="43" max="43" width="19" style="8" hidden="1" customWidth="1"/>
    <col min="44" max="53" width="0" hidden="1" customWidth="1"/>
  </cols>
  <sheetData>
    <row r="1" spans="1:51" x14ac:dyDescent="0.3">
      <c r="F1" s="8"/>
      <c r="AK1" s="6" t="s">
        <v>105</v>
      </c>
      <c r="AL1" s="6" t="s">
        <v>47</v>
      </c>
      <c r="AM1" s="6" t="s">
        <v>46</v>
      </c>
      <c r="AN1" s="6" t="s">
        <v>48</v>
      </c>
      <c r="AO1" s="6" t="s">
        <v>49</v>
      </c>
      <c r="AP1" s="6" t="s">
        <v>50</v>
      </c>
      <c r="AQ1" s="8" t="s">
        <v>41</v>
      </c>
      <c r="AV1" s="73" t="s">
        <v>107</v>
      </c>
      <c r="AW1" s="74" t="s">
        <v>109</v>
      </c>
      <c r="AX1" s="74" t="s">
        <v>110</v>
      </c>
      <c r="AY1" s="75" t="s">
        <v>111</v>
      </c>
    </row>
    <row r="2" spans="1:51" ht="15" thickBot="1" x14ac:dyDescent="0.35">
      <c r="F2" s="8"/>
      <c r="AK2" t="s">
        <v>44</v>
      </c>
      <c r="AL2">
        <v>3740432</v>
      </c>
      <c r="AM2">
        <v>432766</v>
      </c>
      <c r="AN2">
        <v>49557</v>
      </c>
      <c r="AO2">
        <v>3</v>
      </c>
      <c r="AP2">
        <v>215424</v>
      </c>
      <c r="AQ2" s="8">
        <f>VALUE(LEFT(AK2,4))</f>
        <v>2012</v>
      </c>
      <c r="AR2" t="str">
        <f>IF(AQ2&lt;=2019,"Pre-COVID",IF(AQ2&lt;=2021,"COVID","Post-COVID"))</f>
        <v>Pre-COVID</v>
      </c>
      <c r="AV2" s="76">
        <v>4546115</v>
      </c>
      <c r="AW2" s="41">
        <v>6478251</v>
      </c>
      <c r="AX2" s="41">
        <v>7367068</v>
      </c>
      <c r="AY2" s="77">
        <v>5282939</v>
      </c>
    </row>
    <row r="3" spans="1:51" s="10" customFormat="1" ht="18.600000000000001" thickBot="1" x14ac:dyDescent="0.4">
      <c r="A3" s="166" t="s">
        <v>120</v>
      </c>
      <c r="B3" s="104" t="s">
        <v>235</v>
      </c>
      <c r="E3" s="183" t="s">
        <v>121</v>
      </c>
      <c r="F3" s="184"/>
      <c r="G3" s="185"/>
      <c r="H3" s="186"/>
      <c r="K3" s="172" t="s">
        <v>122</v>
      </c>
      <c r="L3" s="173"/>
      <c r="M3" s="173"/>
      <c r="N3" s="173"/>
      <c r="O3" s="174"/>
      <c r="S3" s="172" t="s">
        <v>123</v>
      </c>
      <c r="T3" s="173"/>
      <c r="U3" s="173"/>
      <c r="V3" s="173"/>
      <c r="W3" s="173"/>
      <c r="X3" s="174"/>
      <c r="AK3" t="s">
        <v>51</v>
      </c>
      <c r="AL3">
        <v>5180478</v>
      </c>
      <c r="AM3">
        <v>648839</v>
      </c>
      <c r="AN3">
        <v>81536</v>
      </c>
      <c r="AO3">
        <v>621</v>
      </c>
      <c r="AP3">
        <v>367971</v>
      </c>
      <c r="AQ3" s="8">
        <f t="shared" ref="AQ3:AQ54" si="0">VALUE(LEFT(AK3,4))</f>
        <v>2012</v>
      </c>
      <c r="AR3" t="str">
        <f t="shared" ref="AR3:AR54" si="1">IF(AQ3&lt;=2019,"Pre-COVID",IF(AQ3&lt;=2021,"COVID","Post-COVID"))</f>
        <v>Pre-COVID</v>
      </c>
      <c r="AV3" s="76">
        <v>4676120</v>
      </c>
      <c r="AW3" s="41">
        <v>6747049</v>
      </c>
      <c r="AX3" s="41">
        <v>7719407</v>
      </c>
      <c r="AY3" s="77">
        <v>5538476</v>
      </c>
    </row>
    <row r="4" spans="1:51" ht="15.6" x14ac:dyDescent="0.3">
      <c r="A4" s="167" t="s">
        <v>47</v>
      </c>
      <c r="B4" s="103">
        <f>AVERAGE(Dublin!C2:C55)</f>
        <v>6209078.944444444</v>
      </c>
      <c r="E4" s="73"/>
      <c r="F4" s="190" t="s">
        <v>47</v>
      </c>
      <c r="G4" s="191">
        <f>MEDIAN(Dublin!C2:C55)</f>
        <v>6535140</v>
      </c>
      <c r="H4" s="192"/>
      <c r="K4" s="76"/>
      <c r="L4" s="167" t="s">
        <v>47</v>
      </c>
      <c r="M4" s="36">
        <f>_xlfn.STDEV.S(Dublin!C2:C160)</f>
        <v>2545648.9782591369</v>
      </c>
      <c r="N4" s="41"/>
      <c r="O4" s="77"/>
      <c r="S4" s="76"/>
      <c r="T4" s="41"/>
      <c r="U4" s="167" t="s">
        <v>47</v>
      </c>
      <c r="V4" s="36">
        <f>COUNT(Dublin!C2:C160)</f>
        <v>54</v>
      </c>
      <c r="W4" s="41"/>
      <c r="X4" s="77"/>
      <c r="AK4" t="s">
        <v>52</v>
      </c>
      <c r="AL4">
        <v>5851043</v>
      </c>
      <c r="AM4">
        <v>754985</v>
      </c>
      <c r="AN4">
        <v>90438</v>
      </c>
      <c r="AO4">
        <v>2079</v>
      </c>
      <c r="AP4">
        <v>440305</v>
      </c>
      <c r="AQ4" s="8">
        <f t="shared" si="0"/>
        <v>2012</v>
      </c>
      <c r="AR4" t="str">
        <f t="shared" si="1"/>
        <v>Pre-COVID</v>
      </c>
      <c r="AV4" s="76">
        <v>4804441</v>
      </c>
      <c r="AW4" s="41">
        <v>7278735</v>
      </c>
      <c r="AX4" s="41">
        <v>8219084</v>
      </c>
      <c r="AY4" s="77">
        <v>6084540</v>
      </c>
    </row>
    <row r="5" spans="1:51" ht="15.6" x14ac:dyDescent="0.3">
      <c r="A5" s="167" t="s">
        <v>46</v>
      </c>
      <c r="B5" s="103">
        <f>AVERAGE(Cork!C2:C55)</f>
        <v>533698.5</v>
      </c>
      <c r="E5" s="76"/>
      <c r="F5" s="167" t="s">
        <v>46</v>
      </c>
      <c r="G5" s="169">
        <f>MEDIAN(Cork!C2:C160)</f>
        <v>565276.5</v>
      </c>
      <c r="H5" s="187"/>
      <c r="K5" s="76"/>
      <c r="L5" s="167" t="s">
        <v>46</v>
      </c>
      <c r="M5" s="36">
        <f>_xlfn.STDEV.S(Cork!C2:C160)</f>
        <v>240056.80583559917</v>
      </c>
      <c r="N5" s="41"/>
      <c r="O5" s="77"/>
      <c r="S5" s="76"/>
      <c r="T5" s="41"/>
      <c r="U5" s="167" t="s">
        <v>46</v>
      </c>
      <c r="V5" s="36">
        <f>COUNT(Cork!C2:C160)</f>
        <v>54</v>
      </c>
      <c r="W5" s="41"/>
      <c r="X5" s="77"/>
      <c r="AK5" t="s">
        <v>53</v>
      </c>
      <c r="AL5">
        <v>4318828</v>
      </c>
      <c r="AM5">
        <v>497053</v>
      </c>
      <c r="AN5">
        <v>64911</v>
      </c>
      <c r="AO5">
        <v>7048</v>
      </c>
      <c r="AP5">
        <v>262439</v>
      </c>
      <c r="AQ5" s="8">
        <f t="shared" si="0"/>
        <v>2012</v>
      </c>
      <c r="AR5" t="str">
        <f t="shared" si="1"/>
        <v>Pre-COVID</v>
      </c>
      <c r="AV5" s="76">
        <v>5541321</v>
      </c>
      <c r="AW5" s="41">
        <v>8072483</v>
      </c>
      <c r="AX5" s="41">
        <v>9166638</v>
      </c>
      <c r="AY5" s="77">
        <v>6878352</v>
      </c>
    </row>
    <row r="6" spans="1:51" ht="15.6" x14ac:dyDescent="0.3">
      <c r="A6" s="167" t="s">
        <v>48</v>
      </c>
      <c r="B6" s="103">
        <f>AVERAGE(Kerry!C2:C55)</f>
        <v>77147.166666666672</v>
      </c>
      <c r="E6" s="76"/>
      <c r="F6" s="167" t="s">
        <v>48</v>
      </c>
      <c r="G6" s="169">
        <f>MEDIAN(Kerry!C2:C55)</f>
        <v>81904.5</v>
      </c>
      <c r="H6" s="187"/>
      <c r="K6" s="76"/>
      <c r="L6" s="167" t="s">
        <v>48</v>
      </c>
      <c r="M6" s="36">
        <f>_xlfn.STDEV.S(Kerry!C2:C160)</f>
        <v>32426.673813884696</v>
      </c>
      <c r="N6" s="41"/>
      <c r="O6" s="77"/>
      <c r="S6" s="76"/>
      <c r="T6" s="41"/>
      <c r="U6" s="167" t="s">
        <v>48</v>
      </c>
      <c r="V6" s="36">
        <f>COUNT(Kerry!C2:C160)</f>
        <v>54</v>
      </c>
      <c r="W6" s="41"/>
      <c r="X6" s="77"/>
      <c r="AK6" t="s">
        <v>54</v>
      </c>
      <c r="AL6">
        <v>3874988</v>
      </c>
      <c r="AM6">
        <v>436568</v>
      </c>
      <c r="AN6">
        <v>50391</v>
      </c>
      <c r="AO6">
        <v>27513</v>
      </c>
      <c r="AP6">
        <v>203393</v>
      </c>
      <c r="AQ6" s="8">
        <f t="shared" si="0"/>
        <v>2013</v>
      </c>
      <c r="AR6" t="str">
        <f t="shared" si="1"/>
        <v>Pre-COVID</v>
      </c>
      <c r="AV6" s="76">
        <v>6419047</v>
      </c>
      <c r="AW6" s="41">
        <v>8814289</v>
      </c>
      <c r="AX6" s="41">
        <v>9989845</v>
      </c>
      <c r="AY6" s="77">
        <v>7518046</v>
      </c>
    </row>
    <row r="7" spans="1:51" ht="15.6" x14ac:dyDescent="0.3">
      <c r="A7" s="167" t="s">
        <v>49</v>
      </c>
      <c r="B7" s="103">
        <f>AVERAGE(Knock!C2:C55)</f>
        <v>164889.92592592593</v>
      </c>
      <c r="E7" s="76"/>
      <c r="F7" s="167" t="s">
        <v>49</v>
      </c>
      <c r="G7" s="169">
        <f>MEDIAN(Knock!C2:C55)</f>
        <v>170526</v>
      </c>
      <c r="H7" s="187"/>
      <c r="K7" s="76"/>
      <c r="L7" s="167" t="s">
        <v>49</v>
      </c>
      <c r="M7" s="36">
        <f>_xlfn.STDEV.S(Knock!C2:C160)</f>
        <v>72890.870464611318</v>
      </c>
      <c r="N7" s="41"/>
      <c r="O7" s="77"/>
      <c r="S7" s="76"/>
      <c r="T7" s="41"/>
      <c r="U7" s="167" t="s">
        <v>49</v>
      </c>
      <c r="V7" s="36">
        <f>COUNT(Knock!C2:C160)</f>
        <v>54</v>
      </c>
      <c r="W7" s="41"/>
      <c r="X7" s="77"/>
      <c r="AK7" t="s">
        <v>55</v>
      </c>
      <c r="AL7">
        <v>5460037</v>
      </c>
      <c r="AM7">
        <v>634674</v>
      </c>
      <c r="AN7">
        <v>89225</v>
      </c>
      <c r="AO7">
        <v>69145</v>
      </c>
      <c r="AP7">
        <v>373612</v>
      </c>
      <c r="AQ7" s="8">
        <f t="shared" si="0"/>
        <v>2013</v>
      </c>
      <c r="AR7" t="str">
        <f t="shared" si="1"/>
        <v>Pre-COVID</v>
      </c>
      <c r="AV7" s="76">
        <v>6678744</v>
      </c>
      <c r="AW7" s="41">
        <v>9359711</v>
      </c>
      <c r="AX7" s="41">
        <v>10524366</v>
      </c>
      <c r="AY7" s="77">
        <v>7876478</v>
      </c>
    </row>
    <row r="8" spans="1:51" ht="16.2" thickBot="1" x14ac:dyDescent="0.35">
      <c r="A8" s="167" t="s">
        <v>50</v>
      </c>
      <c r="B8" s="103">
        <f>AVERAGE(Shannon!C2:C55)</f>
        <v>358244.9259259259</v>
      </c>
      <c r="E8" s="78"/>
      <c r="F8" s="175" t="s">
        <v>50</v>
      </c>
      <c r="G8" s="188">
        <f>MEDIAN(Shannon!C2:C160)</f>
        <v>367871</v>
      </c>
      <c r="H8" s="189"/>
      <c r="K8" s="78"/>
      <c r="L8" s="175" t="s">
        <v>50</v>
      </c>
      <c r="M8" s="38">
        <f>_xlfn.STDEV.S(Shannon!C2:C160)</f>
        <v>168868.01166422365</v>
      </c>
      <c r="N8" s="79"/>
      <c r="O8" s="80"/>
      <c r="S8" s="78"/>
      <c r="T8" s="79"/>
      <c r="U8" s="175" t="s">
        <v>50</v>
      </c>
      <c r="V8" s="38">
        <f>COUNT(Shannon!C2:C160)</f>
        <v>54</v>
      </c>
      <c r="W8" s="79"/>
      <c r="X8" s="80"/>
      <c r="AK8" t="s">
        <v>56</v>
      </c>
      <c r="AL8">
        <v>6211891</v>
      </c>
      <c r="AM8">
        <v>713739</v>
      </c>
      <c r="AN8">
        <v>100314</v>
      </c>
      <c r="AO8">
        <v>86381</v>
      </c>
      <c r="AP8">
        <v>466075</v>
      </c>
      <c r="AQ8" s="8">
        <f t="shared" si="0"/>
        <v>2013</v>
      </c>
      <c r="AR8" t="str">
        <f t="shared" si="1"/>
        <v>Pre-COVID</v>
      </c>
      <c r="AV8" s="76">
        <v>6939843</v>
      </c>
      <c r="AW8" s="41">
        <v>10031143</v>
      </c>
      <c r="AX8" s="41">
        <v>11131101</v>
      </c>
      <c r="AY8" s="77">
        <v>8419046</v>
      </c>
    </row>
    <row r="9" spans="1:51" x14ac:dyDescent="0.3">
      <c r="AK9" t="s">
        <v>57</v>
      </c>
      <c r="AL9">
        <v>4601658</v>
      </c>
      <c r="AM9">
        <v>467655</v>
      </c>
      <c r="AN9">
        <v>66112</v>
      </c>
      <c r="AO9">
        <v>100116</v>
      </c>
      <c r="AP9">
        <v>265162</v>
      </c>
      <c r="AQ9" s="8">
        <f t="shared" si="0"/>
        <v>2013</v>
      </c>
      <c r="AR9" t="str">
        <f t="shared" si="1"/>
        <v>Pre-COVID</v>
      </c>
      <c r="AV9" s="76">
        <v>7435673</v>
      </c>
      <c r="AW9" s="41">
        <v>10479523</v>
      </c>
      <c r="AX9" s="41">
        <v>11597270</v>
      </c>
      <c r="AY9" s="77">
        <v>8540952</v>
      </c>
    </row>
    <row r="10" spans="1:51" x14ac:dyDescent="0.3">
      <c r="AK10" t="s">
        <v>58</v>
      </c>
      <c r="AL10">
        <v>4062698</v>
      </c>
      <c r="AM10">
        <v>400785</v>
      </c>
      <c r="AN10">
        <v>45956</v>
      </c>
      <c r="AO10">
        <v>102186</v>
      </c>
      <c r="AP10">
        <v>194886</v>
      </c>
      <c r="AQ10" s="8">
        <f t="shared" si="0"/>
        <v>2014</v>
      </c>
      <c r="AR10" t="str">
        <f t="shared" si="1"/>
        <v>Pre-COVID</v>
      </c>
      <c r="AV10" s="76">
        <v>5916477</v>
      </c>
      <c r="AW10" s="41">
        <v>164402</v>
      </c>
      <c r="AX10" s="41">
        <v>1453684</v>
      </c>
      <c r="AY10" s="77">
        <v>759119</v>
      </c>
    </row>
    <row r="11" spans="1:51" x14ac:dyDescent="0.3">
      <c r="AK11" t="s">
        <v>59</v>
      </c>
      <c r="AL11">
        <v>5914826</v>
      </c>
      <c r="AM11">
        <v>610996</v>
      </c>
      <c r="AN11">
        <v>84394</v>
      </c>
      <c r="AO11">
        <v>107936</v>
      </c>
      <c r="AP11">
        <v>468186</v>
      </c>
      <c r="AQ11" s="8">
        <f t="shared" si="0"/>
        <v>2014</v>
      </c>
      <c r="AR11" t="str">
        <f t="shared" si="1"/>
        <v>Pre-COVID</v>
      </c>
      <c r="AV11" s="76">
        <v>418969</v>
      </c>
      <c r="AW11" s="41">
        <v>596349</v>
      </c>
      <c r="AX11" s="41">
        <v>3576508</v>
      </c>
      <c r="AY11" s="77">
        <v>4541051</v>
      </c>
    </row>
    <row r="12" spans="1:51" x14ac:dyDescent="0.3">
      <c r="AK12" t="s">
        <v>60</v>
      </c>
      <c r="AL12">
        <v>6617238</v>
      </c>
      <c r="AM12">
        <v>685538</v>
      </c>
      <c r="AN12">
        <v>96963</v>
      </c>
      <c r="AO12">
        <v>107971</v>
      </c>
      <c r="AP12">
        <v>559929</v>
      </c>
      <c r="AQ12" s="8">
        <f t="shared" si="0"/>
        <v>2014</v>
      </c>
      <c r="AR12" t="str">
        <f t="shared" si="1"/>
        <v>Pre-COVID</v>
      </c>
      <c r="AV12" s="76">
        <v>4700322</v>
      </c>
      <c r="AW12" s="41">
        <v>9134970</v>
      </c>
      <c r="AX12" s="41">
        <v>10444239</v>
      </c>
      <c r="AY12" s="77">
        <v>8238809</v>
      </c>
    </row>
    <row r="13" spans="1:51" x14ac:dyDescent="0.3">
      <c r="AK13" t="s">
        <v>61</v>
      </c>
      <c r="AL13">
        <v>5100131</v>
      </c>
      <c r="AM13">
        <v>440738</v>
      </c>
      <c r="AN13">
        <v>67642</v>
      </c>
      <c r="AO13">
        <v>110780</v>
      </c>
      <c r="AP13">
        <v>332224</v>
      </c>
      <c r="AQ13" s="8">
        <f t="shared" si="0"/>
        <v>2014</v>
      </c>
      <c r="AR13" t="str">
        <f t="shared" si="1"/>
        <v>Pre-COVID</v>
      </c>
      <c r="AV13" s="76">
        <v>7622484</v>
      </c>
      <c r="AW13" s="41">
        <v>10744701</v>
      </c>
      <c r="AX13" s="41">
        <v>11799615</v>
      </c>
      <c r="AY13" s="77">
        <v>9019601</v>
      </c>
    </row>
    <row r="14" spans="1:51" x14ac:dyDescent="0.3">
      <c r="AK14" t="s">
        <v>62</v>
      </c>
      <c r="AL14">
        <v>4740924</v>
      </c>
      <c r="AM14">
        <v>379553</v>
      </c>
      <c r="AN14">
        <v>46806</v>
      </c>
      <c r="AO14">
        <v>113413</v>
      </c>
      <c r="AP14">
        <v>260625</v>
      </c>
      <c r="AQ14" s="8">
        <f t="shared" si="0"/>
        <v>2015</v>
      </c>
      <c r="AR14" t="str">
        <f t="shared" si="1"/>
        <v>Pre-COVID</v>
      </c>
      <c r="AV14" s="76">
        <v>8227159</v>
      </c>
      <c r="AW14" s="41">
        <v>11231664</v>
      </c>
      <c r="AX14" s="41">
        <v>12364310</v>
      </c>
      <c r="AY14" s="77">
        <v>9164632</v>
      </c>
    </row>
    <row r="15" spans="1:51" ht="15" thickBot="1" x14ac:dyDescent="0.35">
      <c r="AK15" t="s">
        <v>63</v>
      </c>
      <c r="AL15">
        <v>6733056</v>
      </c>
      <c r="AM15">
        <v>580130</v>
      </c>
      <c r="AN15">
        <v>88309</v>
      </c>
      <c r="AO15">
        <v>123034</v>
      </c>
      <c r="AP15">
        <v>470946</v>
      </c>
      <c r="AQ15" s="8">
        <f t="shared" si="0"/>
        <v>2015</v>
      </c>
      <c r="AR15" t="str">
        <f t="shared" si="1"/>
        <v>Pre-COVID</v>
      </c>
      <c r="AV15" s="78">
        <v>8207430</v>
      </c>
      <c r="AW15" s="79">
        <v>12042620</v>
      </c>
      <c r="AX15" s="79"/>
      <c r="AY15" s="80"/>
    </row>
    <row r="16" spans="1:51" ht="18" x14ac:dyDescent="0.35">
      <c r="A16" s="90" t="s">
        <v>124</v>
      </c>
      <c r="B16" s="91"/>
      <c r="C16" s="92"/>
      <c r="D16" s="92"/>
      <c r="E16" s="92"/>
      <c r="F16" s="93"/>
      <c r="L16" s="172" t="s">
        <v>125</v>
      </c>
      <c r="M16" s="180"/>
      <c r="N16" s="180"/>
      <c r="O16" s="180"/>
      <c r="P16" s="180"/>
      <c r="Q16" s="180"/>
      <c r="R16" s="180"/>
      <c r="S16" s="180"/>
      <c r="T16" s="181"/>
      <c r="X16" s="90" t="s">
        <v>126</v>
      </c>
      <c r="Y16" s="94"/>
      <c r="Z16" s="93"/>
      <c r="AA16" s="9"/>
      <c r="AK16" t="s">
        <v>64</v>
      </c>
      <c r="AL16">
        <v>7621339</v>
      </c>
      <c r="AM16">
        <v>653801</v>
      </c>
      <c r="AN16">
        <v>99683</v>
      </c>
      <c r="AO16">
        <v>131234</v>
      </c>
      <c r="AP16">
        <v>565509</v>
      </c>
      <c r="AQ16" s="8">
        <f t="shared" si="0"/>
        <v>2015</v>
      </c>
      <c r="AR16" t="str">
        <f t="shared" si="1"/>
        <v>Pre-COVID</v>
      </c>
    </row>
    <row r="17" spans="1:44" ht="15.6" x14ac:dyDescent="0.3">
      <c r="A17" s="83"/>
      <c r="B17" s="167" t="s">
        <v>47</v>
      </c>
      <c r="C17" s="36">
        <f>MAX(Dublin!C2:C160)</f>
        <v>10369522</v>
      </c>
      <c r="D17" s="87">
        <v>2024</v>
      </c>
      <c r="E17" s="87" t="s">
        <v>110</v>
      </c>
      <c r="F17" s="84"/>
      <c r="L17" s="76"/>
      <c r="M17" s="41"/>
      <c r="N17" s="167" t="s">
        <v>47</v>
      </c>
      <c r="O17" s="36">
        <f>MIN(Dublin!C2:C160)</f>
        <v>155592</v>
      </c>
      <c r="P17" s="87">
        <v>2020</v>
      </c>
      <c r="Q17" s="87" t="s">
        <v>109</v>
      </c>
      <c r="R17" s="41"/>
      <c r="S17" s="41"/>
      <c r="T17" s="77"/>
      <c r="X17" s="168" t="s">
        <v>47</v>
      </c>
      <c r="Y17" s="36">
        <f>C17-O17</f>
        <v>10213930</v>
      </c>
      <c r="Z17" s="84"/>
      <c r="AK17" t="s">
        <v>65</v>
      </c>
      <c r="AL17">
        <v>5867199</v>
      </c>
      <c r="AM17">
        <v>452194</v>
      </c>
      <c r="AN17">
        <v>68241</v>
      </c>
      <c r="AO17">
        <v>132657</v>
      </c>
      <c r="AP17">
        <v>345808</v>
      </c>
      <c r="AQ17" s="8">
        <f t="shared" si="0"/>
        <v>2015</v>
      </c>
      <c r="AR17" t="str">
        <f t="shared" si="1"/>
        <v>Pre-COVID</v>
      </c>
    </row>
    <row r="18" spans="1:44" ht="15.6" x14ac:dyDescent="0.3">
      <c r="A18" s="83"/>
      <c r="B18" s="167" t="s">
        <v>46</v>
      </c>
      <c r="C18" s="36">
        <f>MAX(Cork!C2:C160)</f>
        <v>993437</v>
      </c>
      <c r="D18" s="87">
        <v>2025</v>
      </c>
      <c r="E18" s="87" t="s">
        <v>109</v>
      </c>
      <c r="F18" s="84"/>
      <c r="L18" s="76"/>
      <c r="M18" s="41"/>
      <c r="N18" s="167" t="s">
        <v>46</v>
      </c>
      <c r="O18" s="36">
        <f>MIN(Cork!C2:C160)</f>
        <v>7879</v>
      </c>
      <c r="P18" s="87">
        <v>2020</v>
      </c>
      <c r="Q18" s="87" t="s">
        <v>109</v>
      </c>
      <c r="R18" s="41"/>
      <c r="S18" s="41"/>
      <c r="T18" s="77"/>
      <c r="X18" s="168" t="s">
        <v>46</v>
      </c>
      <c r="Y18" s="36">
        <f>C18-O18</f>
        <v>985558</v>
      </c>
      <c r="Z18" s="84"/>
      <c r="AK18" t="s">
        <v>66</v>
      </c>
      <c r="AL18">
        <v>5534979</v>
      </c>
      <c r="AM18">
        <v>419334</v>
      </c>
      <c r="AN18">
        <v>58771</v>
      </c>
      <c r="AO18">
        <v>134221</v>
      </c>
      <c r="AP18">
        <v>282929</v>
      </c>
      <c r="AQ18" s="8">
        <f t="shared" si="0"/>
        <v>2016</v>
      </c>
      <c r="AR18" t="str">
        <f t="shared" si="1"/>
        <v>Pre-COVID</v>
      </c>
    </row>
    <row r="19" spans="1:44" ht="15.6" x14ac:dyDescent="0.3">
      <c r="A19" s="83"/>
      <c r="B19" s="167" t="s">
        <v>48</v>
      </c>
      <c r="C19" s="36">
        <f>MAX(Kerry!C2:C160)</f>
        <v>135505</v>
      </c>
      <c r="D19" s="87">
        <v>2024</v>
      </c>
      <c r="E19" s="87" t="s">
        <v>110</v>
      </c>
      <c r="F19" s="84"/>
      <c r="L19" s="76"/>
      <c r="M19" s="41"/>
      <c r="N19" s="167" t="s">
        <v>48</v>
      </c>
      <c r="O19" s="36">
        <f>MIN(Kerry!C2:C160)</f>
        <v>808</v>
      </c>
      <c r="P19" s="87">
        <v>2020</v>
      </c>
      <c r="Q19" s="87" t="s">
        <v>109</v>
      </c>
      <c r="R19" s="41"/>
      <c r="S19" s="41"/>
      <c r="T19" s="77"/>
      <c r="X19" s="168" t="s">
        <v>48</v>
      </c>
      <c r="Y19" s="36">
        <f>C19-O19</f>
        <v>134697</v>
      </c>
      <c r="Z19" s="84"/>
      <c r="AK19" t="s">
        <v>67</v>
      </c>
      <c r="AL19">
        <v>7415559</v>
      </c>
      <c r="AM19">
        <v>625599</v>
      </c>
      <c r="AN19">
        <v>91072</v>
      </c>
      <c r="AO19">
        <v>137889</v>
      </c>
      <c r="AP19">
        <v>481657</v>
      </c>
      <c r="AQ19" s="8">
        <f t="shared" si="0"/>
        <v>2016</v>
      </c>
      <c r="AR19" t="str">
        <f t="shared" si="1"/>
        <v>Pre-COVID</v>
      </c>
    </row>
    <row r="20" spans="1:44" ht="15.6" x14ac:dyDescent="0.3">
      <c r="A20" s="83"/>
      <c r="B20" s="167" t="s">
        <v>49</v>
      </c>
      <c r="C20" s="36">
        <f>MAX(Knock!C2:C160)</f>
        <v>271057</v>
      </c>
      <c r="D20" s="87">
        <v>2025</v>
      </c>
      <c r="E20" s="87" t="s">
        <v>109</v>
      </c>
      <c r="F20" s="84"/>
      <c r="L20" s="76"/>
      <c r="M20" s="41"/>
      <c r="N20" s="167" t="s">
        <v>49</v>
      </c>
      <c r="O20" s="36">
        <f>MIN(Knock!C2:C160)</f>
        <v>3</v>
      </c>
      <c r="P20" s="87">
        <v>2020</v>
      </c>
      <c r="Q20" s="87" t="s">
        <v>109</v>
      </c>
      <c r="R20" s="41"/>
      <c r="S20" s="41"/>
      <c r="T20" s="77"/>
      <c r="X20" s="168" t="s">
        <v>49</v>
      </c>
      <c r="Y20" s="36">
        <f>C20-O20</f>
        <v>271054</v>
      </c>
      <c r="Z20" s="84"/>
      <c r="AK20" t="s">
        <v>68</v>
      </c>
      <c r="AL20">
        <v>8361602</v>
      </c>
      <c r="AM20">
        <v>706690</v>
      </c>
      <c r="AN20">
        <v>104956</v>
      </c>
      <c r="AO20">
        <v>139708</v>
      </c>
      <c r="AP20">
        <v>562727</v>
      </c>
      <c r="AQ20" s="8">
        <f t="shared" si="0"/>
        <v>2016</v>
      </c>
      <c r="AR20" t="str">
        <f t="shared" si="1"/>
        <v>Pre-COVID</v>
      </c>
    </row>
    <row r="21" spans="1:44" ht="16.2" thickBot="1" x14ac:dyDescent="0.35">
      <c r="A21" s="85"/>
      <c r="B21" s="171" t="s">
        <v>50</v>
      </c>
      <c r="C21" s="89">
        <f>MAX(Shannon!C2:C160)</f>
        <v>642440</v>
      </c>
      <c r="D21" s="88">
        <v>2024</v>
      </c>
      <c r="E21" s="88" t="s">
        <v>110</v>
      </c>
      <c r="F21" s="86"/>
      <c r="L21" s="78"/>
      <c r="M21" s="79"/>
      <c r="N21" s="175" t="s">
        <v>50</v>
      </c>
      <c r="O21" s="38">
        <f>MIN(Shannon!C2:C160)</f>
        <v>120</v>
      </c>
      <c r="P21" s="182">
        <v>2020</v>
      </c>
      <c r="Q21" s="182" t="s">
        <v>109</v>
      </c>
      <c r="R21" s="79"/>
      <c r="S21" s="79"/>
      <c r="T21" s="80"/>
      <c r="X21" s="170" t="s">
        <v>50</v>
      </c>
      <c r="Y21" s="89">
        <f>C21-O21</f>
        <v>642320</v>
      </c>
      <c r="Z21" s="86"/>
      <c r="AK21" t="s">
        <v>69</v>
      </c>
      <c r="AL21">
        <v>6466748</v>
      </c>
      <c r="AM21">
        <v>474610</v>
      </c>
      <c r="AN21">
        <v>70871</v>
      </c>
      <c r="AO21">
        <v>142569</v>
      </c>
      <c r="AP21">
        <v>347254</v>
      </c>
      <c r="AQ21" s="8">
        <f t="shared" si="0"/>
        <v>2016</v>
      </c>
      <c r="AR21" t="str">
        <f t="shared" si="1"/>
        <v>Pre-COVID</v>
      </c>
    </row>
    <row r="22" spans="1:44" x14ac:dyDescent="0.3">
      <c r="AK22" t="s">
        <v>70</v>
      </c>
      <c r="AL22">
        <v>5795278</v>
      </c>
      <c r="AM22">
        <v>418458</v>
      </c>
      <c r="AN22">
        <v>59034</v>
      </c>
      <c r="AO22">
        <v>143805</v>
      </c>
      <c r="AP22">
        <v>271753</v>
      </c>
      <c r="AQ22" s="8">
        <f t="shared" si="0"/>
        <v>2017</v>
      </c>
      <c r="AR22" t="str">
        <f t="shared" si="1"/>
        <v>Pre-COVID</v>
      </c>
    </row>
    <row r="23" spans="1:44" x14ac:dyDescent="0.3">
      <c r="AK23" t="s">
        <v>71</v>
      </c>
      <c r="AL23">
        <v>7960058</v>
      </c>
      <c r="AM23">
        <v>637491</v>
      </c>
      <c r="AN23">
        <v>98536</v>
      </c>
      <c r="AO23">
        <v>144910</v>
      </c>
      <c r="AP23">
        <v>454971</v>
      </c>
      <c r="AQ23" s="8">
        <f t="shared" si="0"/>
        <v>2017</v>
      </c>
      <c r="AR23" t="str">
        <f t="shared" si="1"/>
        <v>Pre-COVID</v>
      </c>
    </row>
    <row r="24" spans="1:44" x14ac:dyDescent="0.3">
      <c r="AK24" t="s">
        <v>72</v>
      </c>
      <c r="AL24">
        <v>8893941</v>
      </c>
      <c r="AM24">
        <v>752138</v>
      </c>
      <c r="AN24">
        <v>102166</v>
      </c>
      <c r="AO24">
        <v>158563</v>
      </c>
      <c r="AP24">
        <v>531272</v>
      </c>
      <c r="AQ24" s="8">
        <f t="shared" si="0"/>
        <v>2017</v>
      </c>
      <c r="AR24" t="str">
        <f t="shared" si="1"/>
        <v>Pre-COVID</v>
      </c>
    </row>
    <row r="25" spans="1:44" x14ac:dyDescent="0.3">
      <c r="AK25" t="s">
        <v>73</v>
      </c>
      <c r="AL25">
        <v>6805197</v>
      </c>
      <c r="AM25">
        <v>493363</v>
      </c>
      <c r="AN25">
        <v>75744</v>
      </c>
      <c r="AO25">
        <v>158595</v>
      </c>
      <c r="AP25">
        <v>341394</v>
      </c>
      <c r="AQ25" s="8">
        <f t="shared" si="0"/>
        <v>2017</v>
      </c>
      <c r="AR25" t="str">
        <f t="shared" si="1"/>
        <v>Pre-COVID</v>
      </c>
    </row>
    <row r="26" spans="1:44" ht="15" thickBot="1" x14ac:dyDescent="0.35">
      <c r="AK26" t="s">
        <v>74</v>
      </c>
      <c r="AL26">
        <v>6037482</v>
      </c>
      <c r="AM26">
        <v>428618</v>
      </c>
      <c r="AN26">
        <v>65439</v>
      </c>
      <c r="AO26">
        <v>160780</v>
      </c>
      <c r="AP26">
        <v>277070</v>
      </c>
      <c r="AQ26" s="8">
        <f t="shared" si="0"/>
        <v>2018</v>
      </c>
      <c r="AR26" t="str">
        <f t="shared" si="1"/>
        <v>Pre-COVID</v>
      </c>
    </row>
    <row r="27" spans="1:44" ht="18" x14ac:dyDescent="0.35">
      <c r="A27" s="196"/>
      <c r="B27" s="176"/>
      <c r="C27" s="177" t="s">
        <v>233</v>
      </c>
      <c r="D27" s="180"/>
      <c r="E27" s="181"/>
      <c r="L27" s="172" t="s">
        <v>234</v>
      </c>
      <c r="M27" s="180"/>
      <c r="N27" s="180"/>
      <c r="O27" s="180"/>
      <c r="P27" s="181"/>
      <c r="T27" s="176"/>
      <c r="U27" s="177" t="s">
        <v>127</v>
      </c>
      <c r="V27" s="178"/>
      <c r="W27" s="179"/>
      <c r="AK27" t="s">
        <v>75</v>
      </c>
      <c r="AL27">
        <v>8558244</v>
      </c>
      <c r="AM27">
        <v>665643</v>
      </c>
      <c r="AN27">
        <v>103617</v>
      </c>
      <c r="AO27">
        <v>168444</v>
      </c>
      <c r="AP27">
        <v>486168</v>
      </c>
      <c r="AQ27" s="8">
        <f t="shared" si="0"/>
        <v>2018</v>
      </c>
      <c r="AR27" t="str">
        <f t="shared" si="1"/>
        <v>Pre-COVID</v>
      </c>
    </row>
    <row r="28" spans="1:44" ht="15.6" x14ac:dyDescent="0.3">
      <c r="A28" s="41"/>
      <c r="B28" s="193"/>
      <c r="C28" s="41"/>
      <c r="D28" s="41"/>
      <c r="E28" s="77"/>
      <c r="L28" s="76"/>
      <c r="M28" s="41"/>
      <c r="N28" s="41"/>
      <c r="O28" s="41"/>
      <c r="P28" s="77"/>
      <c r="T28" s="76"/>
      <c r="U28" s="167" t="s">
        <v>47</v>
      </c>
      <c r="V28" s="36">
        <f>N32-C32</f>
        <v>2941285</v>
      </c>
      <c r="W28" s="77"/>
      <c r="AK28" t="s">
        <v>76</v>
      </c>
      <c r="AL28">
        <v>9430981</v>
      </c>
      <c r="AM28">
        <v>773012</v>
      </c>
      <c r="AN28">
        <v>114010</v>
      </c>
      <c r="AO28">
        <v>170516</v>
      </c>
      <c r="AP28">
        <v>561411</v>
      </c>
      <c r="AQ28" s="8">
        <f>VALUE(LEFT(AK28,4))</f>
        <v>2018</v>
      </c>
      <c r="AR28" t="str">
        <f>IF(AQ28&lt;=2019,"Pre-COVID",IF(AQ28&lt;=2021,"COVID","Post-COVID"))</f>
        <v>Pre-COVID</v>
      </c>
    </row>
    <row r="29" spans="1:44" ht="15.6" x14ac:dyDescent="0.3">
      <c r="A29" s="41"/>
      <c r="B29" s="76"/>
      <c r="C29" s="36" t="s">
        <v>128</v>
      </c>
      <c r="D29" s="41"/>
      <c r="E29" s="77"/>
      <c r="L29" s="76"/>
      <c r="M29" s="41" t="s">
        <v>129</v>
      </c>
      <c r="N29" s="41"/>
      <c r="O29" s="41"/>
      <c r="P29" s="77"/>
      <c r="T29" s="76"/>
      <c r="U29" s="167" t="s">
        <v>46</v>
      </c>
      <c r="V29" s="36">
        <f>N33-C33</f>
        <v>252201.5</v>
      </c>
      <c r="W29" s="77"/>
      <c r="AK29" t="s">
        <v>77</v>
      </c>
      <c r="AL29">
        <v>7292712</v>
      </c>
      <c r="AM29">
        <v>520533</v>
      </c>
      <c r="AN29">
        <v>82273</v>
      </c>
      <c r="AO29">
        <v>170536</v>
      </c>
      <c r="AP29">
        <v>353012</v>
      </c>
      <c r="AQ29" s="8">
        <f>VALUE(LEFT(AK29,4))</f>
        <v>2018</v>
      </c>
      <c r="AR29" t="str">
        <f>IF(AQ29&lt;=2019,"Pre-COVID",IF(AQ29&lt;=2021,"COVID","Post-COVID"))</f>
        <v>Pre-COVID</v>
      </c>
    </row>
    <row r="30" spans="1:44" ht="15.6" x14ac:dyDescent="0.3">
      <c r="A30" s="41"/>
      <c r="B30" s="193"/>
      <c r="C30" s="41"/>
      <c r="D30" s="41"/>
      <c r="E30" s="77"/>
      <c r="L30" s="76"/>
      <c r="M30" s="41"/>
      <c r="N30" s="41"/>
      <c r="O30" s="41"/>
      <c r="P30" s="77"/>
      <c r="T30" s="76"/>
      <c r="U30" s="167" t="s">
        <v>48</v>
      </c>
      <c r="V30" s="36">
        <f>N34-C34</f>
        <v>39960</v>
      </c>
      <c r="W30" s="77"/>
      <c r="AK30" t="s">
        <v>78</v>
      </c>
      <c r="AL30">
        <v>6480314</v>
      </c>
      <c r="AM30">
        <v>474297</v>
      </c>
      <c r="AN30">
        <v>68606</v>
      </c>
      <c r="AO30">
        <v>180453</v>
      </c>
      <c r="AP30">
        <v>269887</v>
      </c>
      <c r="AQ30" s="8">
        <f>VALUE(LEFT(AK30,4))</f>
        <v>2019</v>
      </c>
      <c r="AR30" t="str">
        <f>IF(AQ30&lt;=2019,"Pre-COVID",IF(AQ30&lt;=2021,"COVID","Post-COVID"))</f>
        <v>Pre-COVID</v>
      </c>
    </row>
    <row r="31" spans="1:44" ht="15.6" x14ac:dyDescent="0.3">
      <c r="A31" s="41"/>
      <c r="B31" s="193"/>
      <c r="C31" s="41"/>
      <c r="D31" s="41"/>
      <c r="E31" s="77"/>
      <c r="L31" s="76"/>
      <c r="M31" s="41"/>
      <c r="N31" s="41"/>
      <c r="O31" s="41"/>
      <c r="P31" s="77"/>
      <c r="T31" s="76"/>
      <c r="U31" s="167" t="s">
        <v>49</v>
      </c>
      <c r="V31" s="36">
        <f>N35-C35</f>
        <v>100253.75</v>
      </c>
      <c r="W31" s="77"/>
      <c r="AK31" t="s">
        <v>79</v>
      </c>
      <c r="AL31">
        <v>8957586</v>
      </c>
      <c r="AM31">
        <v>728548</v>
      </c>
      <c r="AN31">
        <v>102534</v>
      </c>
      <c r="AO31">
        <v>182254</v>
      </c>
      <c r="AP31">
        <v>468422</v>
      </c>
      <c r="AQ31" s="8">
        <f>VALUE(LEFT(AK31,4))</f>
        <v>2019</v>
      </c>
      <c r="AR31" t="str">
        <f>IF(AQ31&lt;=2019,"Pre-COVID",IF(AQ31&lt;=2021,"COVID","Post-COVID"))</f>
        <v>Pre-COVID</v>
      </c>
    </row>
    <row r="32" spans="1:44" ht="16.2" thickBot="1" x14ac:dyDescent="0.35">
      <c r="A32" s="41"/>
      <c r="B32" s="194" t="s">
        <v>47</v>
      </c>
      <c r="C32" s="36">
        <f>_xlfn.QUARTILE.INC(Dublin!C2:C55,1)</f>
        <v>4830725.75</v>
      </c>
      <c r="D32" s="41"/>
      <c r="E32" s="77"/>
      <c r="L32" s="76"/>
      <c r="M32" s="167" t="s">
        <v>47</v>
      </c>
      <c r="N32" s="36">
        <f>_xlfn.QUARTILE.INC(Dublin!C2:C55,3)</f>
        <v>7772010.75</v>
      </c>
      <c r="O32" s="41"/>
      <c r="P32" s="77"/>
      <c r="T32" s="78"/>
      <c r="U32" s="175" t="s">
        <v>50</v>
      </c>
      <c r="V32" s="38">
        <f>N36-C36</f>
        <v>207195.25</v>
      </c>
      <c r="W32" s="80"/>
      <c r="AK32" t="s">
        <v>80</v>
      </c>
      <c r="AL32">
        <v>9852369</v>
      </c>
      <c r="AM32">
        <v>832198</v>
      </c>
      <c r="AN32">
        <v>116018</v>
      </c>
      <c r="AO32">
        <v>189501</v>
      </c>
      <c r="AP32">
        <v>536697</v>
      </c>
      <c r="AQ32" s="8">
        <f t="shared" si="0"/>
        <v>2019</v>
      </c>
      <c r="AR32" t="str">
        <f t="shared" si="1"/>
        <v>Pre-COVID</v>
      </c>
    </row>
    <row r="33" spans="1:44" ht="15.6" x14ac:dyDescent="0.3">
      <c r="A33" s="41"/>
      <c r="B33" s="194" t="s">
        <v>46</v>
      </c>
      <c r="C33" s="36">
        <f>_xlfn.QUARTILE.INC(Cork!C2:C55,1)</f>
        <v>429655</v>
      </c>
      <c r="D33" s="41"/>
      <c r="E33" s="77"/>
      <c r="L33" s="76"/>
      <c r="M33" s="167" t="s">
        <v>46</v>
      </c>
      <c r="N33" s="36">
        <f>_xlfn.QUARTILE.INC(Cork!C2:C55,3)</f>
        <v>681856.5</v>
      </c>
      <c r="O33" s="41"/>
      <c r="P33" s="77"/>
      <c r="T33" s="41"/>
      <c r="U33" s="41"/>
      <c r="V33" s="41"/>
      <c r="W33" s="41"/>
      <c r="AK33" t="s">
        <v>81</v>
      </c>
      <c r="AL33">
        <v>7385982</v>
      </c>
      <c r="AM33">
        <v>550423</v>
      </c>
      <c r="AN33">
        <v>82678</v>
      </c>
      <c r="AO33">
        <v>190172</v>
      </c>
      <c r="AP33">
        <v>341416</v>
      </c>
      <c r="AQ33" s="8">
        <f t="shared" si="0"/>
        <v>2019</v>
      </c>
      <c r="AR33" t="str">
        <f t="shared" si="1"/>
        <v>Pre-COVID</v>
      </c>
    </row>
    <row r="34" spans="1:44" ht="15.6" x14ac:dyDescent="0.3">
      <c r="A34" s="41"/>
      <c r="B34" s="194" t="s">
        <v>48</v>
      </c>
      <c r="C34" s="36">
        <f>_xlfn.QUARTILE.INC(Kerry!C2:C55,1)</f>
        <v>60196.25</v>
      </c>
      <c r="D34" s="41"/>
      <c r="E34" s="77"/>
      <c r="L34" s="76"/>
      <c r="M34" s="167" t="s">
        <v>48</v>
      </c>
      <c r="N34" s="36">
        <f>_xlfn.QUARTILE.INC(Kerry!C2:C55,3)</f>
        <v>100156.25</v>
      </c>
      <c r="O34" s="41"/>
      <c r="P34" s="77"/>
      <c r="T34" s="41"/>
      <c r="U34" s="41"/>
      <c r="V34" s="41"/>
      <c r="W34" s="41"/>
      <c r="AK34" t="s">
        <v>82</v>
      </c>
      <c r="AL34">
        <v>5139128</v>
      </c>
      <c r="AM34">
        <v>397387</v>
      </c>
      <c r="AN34">
        <v>55763</v>
      </c>
      <c r="AO34">
        <v>199427</v>
      </c>
      <c r="AP34">
        <v>216228</v>
      </c>
      <c r="AQ34" s="8">
        <f t="shared" si="0"/>
        <v>2020</v>
      </c>
      <c r="AR34" t="str">
        <f t="shared" si="1"/>
        <v>COVID</v>
      </c>
    </row>
    <row r="35" spans="1:44" ht="15.6" x14ac:dyDescent="0.3">
      <c r="A35" s="41"/>
      <c r="B35" s="194" t="s">
        <v>49</v>
      </c>
      <c r="C35" s="36">
        <f>_xlfn.QUARTILE.INC(Knock!C2:C55,1)</f>
        <v>125084</v>
      </c>
      <c r="D35" s="41"/>
      <c r="E35" s="77"/>
      <c r="L35" s="76"/>
      <c r="M35" s="167" t="s">
        <v>49</v>
      </c>
      <c r="N35" s="36">
        <f>_xlfn.QUARTILE.INC(Knock!C2:C55,3)</f>
        <v>225337.75</v>
      </c>
      <c r="O35" s="41"/>
      <c r="P35" s="77"/>
      <c r="T35" s="41"/>
      <c r="U35" s="41"/>
      <c r="V35" s="41"/>
      <c r="W35" s="41"/>
      <c r="AK35" t="s">
        <v>83</v>
      </c>
      <c r="AL35">
        <v>155592</v>
      </c>
      <c r="AM35">
        <v>7879</v>
      </c>
      <c r="AN35">
        <v>808</v>
      </c>
      <c r="AO35">
        <v>200028</v>
      </c>
      <c r="AP35">
        <v>120</v>
      </c>
      <c r="AQ35" s="8">
        <f t="shared" si="0"/>
        <v>2020</v>
      </c>
      <c r="AR35" t="str">
        <f t="shared" si="1"/>
        <v>COVID</v>
      </c>
    </row>
    <row r="36" spans="1:44" ht="16.2" thickBot="1" x14ac:dyDescent="0.35">
      <c r="A36" s="41"/>
      <c r="B36" s="195" t="s">
        <v>50</v>
      </c>
      <c r="C36" s="38">
        <f>_xlfn.QUARTILE.INC(Shannon!C2:C55,1)</f>
        <v>263119.75</v>
      </c>
      <c r="D36" s="79"/>
      <c r="E36" s="80"/>
      <c r="L36" s="78"/>
      <c r="M36" s="175" t="s">
        <v>50</v>
      </c>
      <c r="N36" s="38">
        <f>_xlfn.QUARTILE.INC(Shannon!C2:C55,3)</f>
        <v>470315</v>
      </c>
      <c r="O36" s="79"/>
      <c r="P36" s="80"/>
      <c r="T36" s="41"/>
      <c r="U36" s="41"/>
      <c r="V36" s="41"/>
      <c r="W36" s="41"/>
      <c r="AK36" t="s">
        <v>84</v>
      </c>
      <c r="AL36">
        <v>1270411</v>
      </c>
      <c r="AM36">
        <v>90287</v>
      </c>
      <c r="AN36">
        <v>19968</v>
      </c>
      <c r="AO36">
        <v>200042</v>
      </c>
      <c r="AP36">
        <v>45505</v>
      </c>
      <c r="AQ36" s="8">
        <f t="shared" si="0"/>
        <v>2020</v>
      </c>
      <c r="AR36" t="str">
        <f t="shared" si="1"/>
        <v>COVID</v>
      </c>
    </row>
    <row r="37" spans="1:44" x14ac:dyDescent="0.3">
      <c r="AK37" t="s">
        <v>85</v>
      </c>
      <c r="AL37">
        <v>702109</v>
      </c>
      <c r="AM37">
        <v>31461</v>
      </c>
      <c r="AN37">
        <v>6420</v>
      </c>
      <c r="AO37">
        <v>200333</v>
      </c>
      <c r="AP37">
        <v>12081</v>
      </c>
      <c r="AQ37" s="8">
        <f t="shared" si="0"/>
        <v>2020</v>
      </c>
      <c r="AR37" t="str">
        <f t="shared" si="1"/>
        <v>COVID</v>
      </c>
    </row>
    <row r="38" spans="1:44" x14ac:dyDescent="0.3">
      <c r="AK38" t="s">
        <v>86</v>
      </c>
      <c r="AL38">
        <v>405112</v>
      </c>
      <c r="AM38">
        <v>8926</v>
      </c>
      <c r="AN38">
        <v>1988</v>
      </c>
      <c r="AO38">
        <v>200402</v>
      </c>
      <c r="AP38">
        <v>2322</v>
      </c>
      <c r="AQ38" s="8">
        <f t="shared" si="0"/>
        <v>2021</v>
      </c>
      <c r="AR38" t="str">
        <f t="shared" si="1"/>
        <v>COVID</v>
      </c>
    </row>
    <row r="39" spans="1:44" x14ac:dyDescent="0.3">
      <c r="AK39" t="s">
        <v>87</v>
      </c>
      <c r="AL39">
        <v>554749</v>
      </c>
      <c r="AM39">
        <v>24931</v>
      </c>
      <c r="AN39">
        <v>4301</v>
      </c>
      <c r="AO39">
        <v>208655</v>
      </c>
      <c r="AP39">
        <v>10289</v>
      </c>
      <c r="AQ39" s="8">
        <f t="shared" si="0"/>
        <v>2021</v>
      </c>
      <c r="AR39" t="str">
        <f t="shared" si="1"/>
        <v>COVID</v>
      </c>
    </row>
    <row r="40" spans="1:44" ht="15" thickBot="1" x14ac:dyDescent="0.35">
      <c r="AK40" t="s">
        <v>88</v>
      </c>
      <c r="AL40">
        <v>3202834</v>
      </c>
      <c r="AM40">
        <v>133809</v>
      </c>
      <c r="AN40">
        <v>45426</v>
      </c>
      <c r="AO40">
        <v>217471</v>
      </c>
      <c r="AP40">
        <v>125294</v>
      </c>
      <c r="AQ40" s="8">
        <f t="shared" si="0"/>
        <v>2021</v>
      </c>
      <c r="AR40" t="str">
        <f t="shared" si="1"/>
        <v>COVID</v>
      </c>
    </row>
    <row r="41" spans="1:44" ht="18" x14ac:dyDescent="0.35">
      <c r="A41" s="196"/>
      <c r="B41" s="176"/>
      <c r="C41" s="177" t="s">
        <v>130</v>
      </c>
      <c r="D41" s="180"/>
      <c r="E41" s="181"/>
      <c r="I41" s="172" t="s">
        <v>131</v>
      </c>
      <c r="J41" s="180"/>
      <c r="K41" s="180"/>
      <c r="L41" s="180"/>
      <c r="M41" s="180"/>
      <c r="N41" s="180"/>
      <c r="O41" s="181"/>
      <c r="AK41" t="s">
        <v>90</v>
      </c>
      <c r="AL41">
        <v>4099571</v>
      </c>
      <c r="AM41">
        <v>288323</v>
      </c>
      <c r="AN41">
        <v>44836</v>
      </c>
      <c r="AO41">
        <v>226306</v>
      </c>
      <c r="AP41">
        <v>181211</v>
      </c>
      <c r="AQ41" s="8">
        <f t="shared" si="0"/>
        <v>2022</v>
      </c>
      <c r="AR41" t="str">
        <f t="shared" si="1"/>
        <v>Post-COVID</v>
      </c>
    </row>
    <row r="42" spans="1:44" x14ac:dyDescent="0.3">
      <c r="A42" s="196"/>
      <c r="B42" s="193"/>
      <c r="C42" s="41"/>
      <c r="D42" s="41"/>
      <c r="E42" s="77"/>
      <c r="I42" s="76"/>
      <c r="J42" s="41"/>
      <c r="K42" s="41"/>
      <c r="L42" s="41"/>
      <c r="M42" s="41"/>
      <c r="N42" s="41"/>
      <c r="O42" s="77"/>
      <c r="AK42" t="s">
        <v>91</v>
      </c>
      <c r="AL42">
        <v>7779695</v>
      </c>
      <c r="AM42">
        <v>645215</v>
      </c>
      <c r="AN42">
        <v>102093</v>
      </c>
      <c r="AO42">
        <v>227388</v>
      </c>
      <c r="AP42">
        <v>407939</v>
      </c>
      <c r="AQ42" s="8">
        <f t="shared" si="0"/>
        <v>2022</v>
      </c>
      <c r="AR42" t="str">
        <f t="shared" si="1"/>
        <v>Post-COVID</v>
      </c>
    </row>
    <row r="43" spans="1:44" x14ac:dyDescent="0.3">
      <c r="A43" s="196"/>
      <c r="B43" s="193" t="s">
        <v>107</v>
      </c>
      <c r="C43" s="36">
        <v>5866725</v>
      </c>
      <c r="D43" s="41"/>
      <c r="E43" s="77"/>
      <c r="I43" s="76"/>
      <c r="J43" s="41"/>
      <c r="K43" s="36" t="s">
        <v>107</v>
      </c>
      <c r="L43" s="36">
        <f>_xlfn.STDEV.S(AV2:AV15)</f>
        <v>2040885.0927134377</v>
      </c>
      <c r="M43" s="41"/>
      <c r="N43" s="41"/>
      <c r="O43" s="77"/>
      <c r="AK43" t="s">
        <v>92</v>
      </c>
      <c r="AL43">
        <v>8840733</v>
      </c>
      <c r="AM43">
        <v>767806</v>
      </c>
      <c r="AN43">
        <v>118069</v>
      </c>
      <c r="AO43">
        <v>230010</v>
      </c>
      <c r="AP43">
        <v>465036</v>
      </c>
      <c r="AQ43" s="8">
        <f t="shared" si="0"/>
        <v>2022</v>
      </c>
      <c r="AR43" t="str">
        <f t="shared" si="1"/>
        <v>Post-COVID</v>
      </c>
    </row>
    <row r="44" spans="1:44" x14ac:dyDescent="0.3">
      <c r="A44" s="196"/>
      <c r="B44" s="193" t="s">
        <v>109</v>
      </c>
      <c r="C44" s="36">
        <v>7941135</v>
      </c>
      <c r="D44" s="41"/>
      <c r="E44" s="77"/>
      <c r="I44" s="76"/>
      <c r="J44" s="41"/>
      <c r="K44" s="36" t="s">
        <v>109</v>
      </c>
      <c r="L44" s="36">
        <f>_xlfn.STDEV.S(AW2:AW15)</f>
        <v>3605195.4182795268</v>
      </c>
      <c r="M44" s="41"/>
      <c r="N44" s="41"/>
      <c r="O44" s="77"/>
      <c r="AK44" t="s">
        <v>93</v>
      </c>
      <c r="AL44">
        <v>7073346</v>
      </c>
      <c r="AM44">
        <v>537111</v>
      </c>
      <c r="AN44">
        <v>90045</v>
      </c>
      <c r="AO44">
        <v>230297</v>
      </c>
      <c r="AP44">
        <v>367771</v>
      </c>
      <c r="AQ44" s="8">
        <f t="shared" si="0"/>
        <v>2022</v>
      </c>
      <c r="AR44" t="str">
        <f t="shared" si="1"/>
        <v>Post-COVID</v>
      </c>
    </row>
    <row r="45" spans="1:44" x14ac:dyDescent="0.3">
      <c r="A45" s="196"/>
      <c r="B45" s="193" t="s">
        <v>110</v>
      </c>
      <c r="C45" s="36">
        <v>8873318</v>
      </c>
      <c r="D45" s="41"/>
      <c r="E45" s="77"/>
      <c r="I45" s="76"/>
      <c r="J45" s="41"/>
      <c r="K45" s="36" t="s">
        <v>110</v>
      </c>
      <c r="L45" s="36">
        <f>_xlfn.STDEV.S(AX2:AX14)</f>
        <v>3252302.3377751568</v>
      </c>
      <c r="M45" s="41"/>
      <c r="N45" s="41"/>
      <c r="O45" s="77"/>
      <c r="AK45" t="s">
        <v>94</v>
      </c>
      <c r="AL45">
        <v>6589966</v>
      </c>
      <c r="AM45">
        <v>499021</v>
      </c>
      <c r="AN45">
        <v>72347</v>
      </c>
      <c r="AO45">
        <v>230783</v>
      </c>
      <c r="AP45">
        <v>328493</v>
      </c>
      <c r="AQ45" s="8">
        <f t="shared" si="0"/>
        <v>2023</v>
      </c>
      <c r="AR45" t="str">
        <f t="shared" si="1"/>
        <v>Post-COVID</v>
      </c>
    </row>
    <row r="46" spans="1:44" ht="15" thickBot="1" x14ac:dyDescent="0.35">
      <c r="A46" s="196"/>
      <c r="B46" s="197" t="s">
        <v>111</v>
      </c>
      <c r="C46" s="38">
        <v>6758619</v>
      </c>
      <c r="D46" s="79"/>
      <c r="E46" s="80"/>
      <c r="I46" s="76"/>
      <c r="J46" s="41"/>
      <c r="K46" s="36" t="s">
        <v>111</v>
      </c>
      <c r="L46" s="36">
        <f>_xlfn.STDEV.S(AY2:AY14)</f>
        <v>2343406.9647812145</v>
      </c>
      <c r="M46" s="41"/>
      <c r="N46" s="41"/>
      <c r="O46" s="77"/>
      <c r="AK46" t="s">
        <v>95</v>
      </c>
      <c r="AL46">
        <v>9058940</v>
      </c>
      <c r="AM46">
        <v>791720</v>
      </c>
      <c r="AN46">
        <v>117608</v>
      </c>
      <c r="AO46">
        <v>244849</v>
      </c>
      <c r="AP46">
        <v>546423</v>
      </c>
      <c r="AQ46" s="8">
        <f t="shared" si="0"/>
        <v>2023</v>
      </c>
      <c r="AR46" t="str">
        <f t="shared" si="1"/>
        <v>Post-COVID</v>
      </c>
    </row>
    <row r="47" spans="1:44" ht="15" thickBot="1" x14ac:dyDescent="0.35">
      <c r="I47" s="78"/>
      <c r="J47" s="79"/>
      <c r="K47" s="79"/>
      <c r="L47" s="79"/>
      <c r="M47" s="79"/>
      <c r="N47" s="79"/>
      <c r="O47" s="80"/>
      <c r="AK47" t="s">
        <v>96</v>
      </c>
      <c r="AL47">
        <v>9929211</v>
      </c>
      <c r="AM47">
        <v>866942</v>
      </c>
      <c r="AN47">
        <v>133729</v>
      </c>
      <c r="AO47">
        <v>251687</v>
      </c>
      <c r="AP47">
        <v>601388</v>
      </c>
      <c r="AQ47" s="8">
        <f t="shared" si="0"/>
        <v>2023</v>
      </c>
      <c r="AR47" t="str">
        <f t="shared" si="1"/>
        <v>Post-COVID</v>
      </c>
    </row>
    <row r="48" spans="1:44" x14ac:dyDescent="0.3">
      <c r="AK48" t="s">
        <v>97</v>
      </c>
      <c r="AL48">
        <v>7684824</v>
      </c>
      <c r="AM48">
        <v>640341</v>
      </c>
      <c r="AN48">
        <v>90887</v>
      </c>
      <c r="AO48">
        <v>252595</v>
      </c>
      <c r="AP48">
        <v>421295</v>
      </c>
      <c r="AQ48" s="8">
        <f t="shared" si="0"/>
        <v>2023</v>
      </c>
      <c r="AR48" t="str">
        <f t="shared" si="1"/>
        <v>Post-COVID</v>
      </c>
    </row>
    <row r="49" spans="37:44" x14ac:dyDescent="0.3">
      <c r="AK49" t="s">
        <v>98</v>
      </c>
      <c r="AL49">
        <v>7025552</v>
      </c>
      <c r="AM49">
        <v>601989</v>
      </c>
      <c r="AN49">
        <v>71277</v>
      </c>
      <c r="AO49">
        <v>253641</v>
      </c>
      <c r="AP49">
        <v>369746</v>
      </c>
      <c r="AQ49" s="8">
        <f t="shared" si="0"/>
        <v>2024</v>
      </c>
      <c r="AR49" t="str">
        <f t="shared" si="1"/>
        <v>Post-COVID</v>
      </c>
    </row>
    <row r="50" spans="37:44" x14ac:dyDescent="0.3">
      <c r="AK50" t="s">
        <v>99</v>
      </c>
      <c r="AL50">
        <v>9479228</v>
      </c>
      <c r="AM50">
        <v>832446</v>
      </c>
      <c r="AN50">
        <v>113094</v>
      </c>
      <c r="AO50">
        <v>253870</v>
      </c>
      <c r="AP50">
        <v>576113</v>
      </c>
      <c r="AQ50" s="8">
        <f t="shared" si="0"/>
        <v>2024</v>
      </c>
      <c r="AR50" t="str">
        <f t="shared" si="1"/>
        <v>Post-COVID</v>
      </c>
    </row>
    <row r="51" spans="37:44" x14ac:dyDescent="0.3">
      <c r="AK51" t="s">
        <v>100</v>
      </c>
      <c r="AL51">
        <v>10369522</v>
      </c>
      <c r="AM51">
        <v>963202</v>
      </c>
      <c r="AN51">
        <v>135505</v>
      </c>
      <c r="AO51">
        <v>259416</v>
      </c>
      <c r="AP51">
        <v>642440</v>
      </c>
      <c r="AQ51" s="8">
        <f t="shared" si="0"/>
        <v>2024</v>
      </c>
      <c r="AR51" t="str">
        <f t="shared" si="1"/>
        <v>Post-COVID</v>
      </c>
    </row>
    <row r="52" spans="37:44" x14ac:dyDescent="0.3">
      <c r="AK52" t="s">
        <v>101</v>
      </c>
      <c r="AL52">
        <v>7748958</v>
      </c>
      <c r="AM52">
        <v>670812</v>
      </c>
      <c r="AN52">
        <v>92158</v>
      </c>
      <c r="AO52">
        <v>259988</v>
      </c>
      <c r="AP52">
        <v>462532</v>
      </c>
      <c r="AQ52" s="8">
        <f t="shared" si="0"/>
        <v>2024</v>
      </c>
      <c r="AR52" t="str">
        <f t="shared" si="1"/>
        <v>Post-COVID</v>
      </c>
    </row>
    <row r="53" spans="37:44" x14ac:dyDescent="0.3">
      <c r="AK53" t="s">
        <v>102</v>
      </c>
      <c r="AL53">
        <v>6933757</v>
      </c>
      <c r="AM53">
        <v>648356</v>
      </c>
      <c r="AN53">
        <v>72175</v>
      </c>
      <c r="AO53">
        <v>268345</v>
      </c>
      <c r="AP53">
        <v>384698</v>
      </c>
      <c r="AQ53" s="8">
        <f t="shared" si="0"/>
        <v>2025</v>
      </c>
      <c r="AR53" t="str">
        <f t="shared" si="1"/>
        <v>Post-COVID</v>
      </c>
    </row>
    <row r="54" spans="37:44" x14ac:dyDescent="0.3">
      <c r="AK54" t="s">
        <v>103</v>
      </c>
      <c r="AL54">
        <v>10017651</v>
      </c>
      <c r="AM54">
        <v>993437</v>
      </c>
      <c r="AN54">
        <v>126964</v>
      </c>
      <c r="AO54">
        <v>271057</v>
      </c>
      <c r="AP54">
        <v>633511</v>
      </c>
      <c r="AQ54" s="8">
        <f t="shared" si="0"/>
        <v>2025</v>
      </c>
      <c r="AR54" t="str">
        <f t="shared" si="1"/>
        <v>Post-COVID</v>
      </c>
    </row>
    <row r="62" spans="37:44" x14ac:dyDescent="0.3">
      <c r="AL62" s="72" t="s">
        <v>116</v>
      </c>
      <c r="AM62" s="13" t="s">
        <v>117</v>
      </c>
    </row>
    <row r="63" spans="37:44" x14ac:dyDescent="0.3">
      <c r="AL63" s="15" t="s">
        <v>112</v>
      </c>
      <c r="AM63" s="11">
        <v>726106.625</v>
      </c>
    </row>
    <row r="64" spans="37:44" x14ac:dyDescent="0.3">
      <c r="AL64" s="12" t="s">
        <v>45</v>
      </c>
      <c r="AM64" s="11">
        <v>2178319.875</v>
      </c>
    </row>
    <row r="65" spans="38:39" x14ac:dyDescent="0.3">
      <c r="AL65" s="12" t="s">
        <v>46</v>
      </c>
      <c r="AM65" s="11">
        <v>97753.625</v>
      </c>
    </row>
    <row r="66" spans="38:39" x14ac:dyDescent="0.3">
      <c r="AL66" s="12" t="s">
        <v>47</v>
      </c>
      <c r="AM66" s="11">
        <v>1941688.875</v>
      </c>
    </row>
    <row r="67" spans="38:39" x14ac:dyDescent="0.3">
      <c r="AL67" s="12" t="s">
        <v>48</v>
      </c>
      <c r="AM67" s="11">
        <v>24794.625</v>
      </c>
    </row>
    <row r="68" spans="38:39" x14ac:dyDescent="0.3">
      <c r="AL68" s="12" t="s">
        <v>49</v>
      </c>
      <c r="AM68" s="11">
        <v>39570.75</v>
      </c>
    </row>
    <row r="69" spans="38:39" x14ac:dyDescent="0.3">
      <c r="AL69" s="12" t="s">
        <v>50</v>
      </c>
      <c r="AM69" s="11">
        <v>74512</v>
      </c>
    </row>
    <row r="70" spans="38:39" x14ac:dyDescent="0.3">
      <c r="AL70" s="15" t="s">
        <v>113</v>
      </c>
      <c r="AM70" s="11">
        <v>3165298.9523809524</v>
      </c>
    </row>
    <row r="71" spans="38:39" x14ac:dyDescent="0.3">
      <c r="AL71" s="12" t="s">
        <v>45</v>
      </c>
      <c r="AM71" s="11">
        <v>9495896.8571428563</v>
      </c>
    </row>
    <row r="72" spans="38:39" x14ac:dyDescent="0.3">
      <c r="AL72" s="12" t="s">
        <v>46</v>
      </c>
      <c r="AM72" s="11">
        <v>696194.35714285716</v>
      </c>
    </row>
    <row r="73" spans="38:39" x14ac:dyDescent="0.3">
      <c r="AL73" s="12" t="s">
        <v>47</v>
      </c>
      <c r="AM73" s="11">
        <v>8045068.1428571427</v>
      </c>
    </row>
    <row r="74" spans="38:39" x14ac:dyDescent="0.3">
      <c r="AL74" s="12" t="s">
        <v>48</v>
      </c>
      <c r="AM74" s="11">
        <v>98627.642857142855</v>
      </c>
    </row>
    <row r="75" spans="38:39" x14ac:dyDescent="0.3">
      <c r="AL75" s="12" t="s">
        <v>49</v>
      </c>
      <c r="AM75" s="11">
        <v>199678.42857142858</v>
      </c>
    </row>
    <row r="76" spans="38:39" x14ac:dyDescent="0.3">
      <c r="AL76" s="12" t="s">
        <v>50</v>
      </c>
      <c r="AM76" s="11">
        <v>456328.28571428574</v>
      </c>
    </row>
    <row r="77" spans="38:39" x14ac:dyDescent="0.3">
      <c r="AL77" s="15" t="s">
        <v>108</v>
      </c>
      <c r="AM77" s="11">
        <v>2564126</v>
      </c>
    </row>
    <row r="78" spans="38:39" x14ac:dyDescent="0.3">
      <c r="AL78" s="12" t="s">
        <v>45</v>
      </c>
      <c r="AM78" s="11">
        <v>7692378</v>
      </c>
    </row>
    <row r="79" spans="38:39" x14ac:dyDescent="0.3">
      <c r="AL79" s="12" t="s">
        <v>46</v>
      </c>
      <c r="AM79" s="11">
        <v>571592.78125</v>
      </c>
    </row>
    <row r="80" spans="38:39" x14ac:dyDescent="0.3">
      <c r="AL80" s="12" t="s">
        <v>47</v>
      </c>
      <c r="AM80" s="11">
        <v>6472681.1875</v>
      </c>
    </row>
    <row r="81" spans="38:39" x14ac:dyDescent="0.3">
      <c r="AL81" s="12" t="s">
        <v>48</v>
      </c>
      <c r="AM81" s="11">
        <v>80837.59375</v>
      </c>
    </row>
    <row r="82" spans="38:39" x14ac:dyDescent="0.3">
      <c r="AL82" s="12" t="s">
        <v>49</v>
      </c>
      <c r="AM82" s="11">
        <v>180999.75</v>
      </c>
    </row>
    <row r="83" spans="38:39" x14ac:dyDescent="0.3">
      <c r="AL83" s="12" t="s">
        <v>50</v>
      </c>
      <c r="AM83" s="11">
        <v>386266.6875</v>
      </c>
    </row>
    <row r="84" spans="38:39" x14ac:dyDescent="0.3">
      <c r="AL84" s="14" t="s">
        <v>118</v>
      </c>
      <c r="AM84" s="13">
        <v>2447686.4876543209</v>
      </c>
    </row>
  </sheetData>
  <phoneticPr fontId="8" type="noConversion"/>
  <pageMargins left="0.75" right="0.75" top="0.75" bottom="0.5" header="0.5" footer="0.75"/>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2BBB7-F8C6-4063-8E3D-CBF063C85D08}">
  <dimension ref="A1:U14"/>
  <sheetViews>
    <sheetView showGridLines="0" tabSelected="1" zoomScale="90" zoomScaleNormal="90" workbookViewId="0">
      <selection activeCell="I14" sqref="I14"/>
    </sheetView>
  </sheetViews>
  <sheetFormatPr defaultRowHeight="14.4" x14ac:dyDescent="0.3"/>
  <cols>
    <col min="1" max="1" width="12.77734375" customWidth="1"/>
    <col min="3" max="3" width="12.88671875" customWidth="1"/>
    <col min="4" max="4" width="11.6640625" customWidth="1"/>
    <col min="5" max="5" width="11.44140625" customWidth="1"/>
    <col min="6" max="6" width="10.33203125" customWidth="1"/>
    <col min="7" max="7" width="24.44140625" bestFit="1" customWidth="1"/>
    <col min="8" max="8" width="11.5546875" bestFit="1" customWidth="1"/>
    <col min="9" max="9" width="35.33203125" bestFit="1" customWidth="1"/>
    <col min="11" max="11" width="14.33203125" bestFit="1" customWidth="1"/>
    <col min="14" max="14" width="11.44140625" customWidth="1"/>
    <col min="20" max="20" width="11.44140625" customWidth="1"/>
    <col min="21" max="21" width="11.33203125" customWidth="1"/>
  </cols>
  <sheetData>
    <row r="1" spans="1:21" ht="18.600000000000001" thickBot="1" x14ac:dyDescent="0.4">
      <c r="A1" s="126" t="s">
        <v>132</v>
      </c>
      <c r="B1" s="127"/>
      <c r="C1" s="127"/>
      <c r="D1" s="127"/>
      <c r="E1" s="127"/>
      <c r="F1" s="127"/>
      <c r="G1" s="128"/>
      <c r="N1" s="32" t="s">
        <v>133</v>
      </c>
      <c r="O1" s="33"/>
      <c r="P1" s="33"/>
      <c r="Q1" s="33"/>
      <c r="R1" s="33"/>
      <c r="S1" s="34"/>
      <c r="T1" s="35"/>
    </row>
    <row r="3" spans="1:21" ht="15" thickBot="1" x14ac:dyDescent="0.35">
      <c r="A3" s="129" t="s">
        <v>134</v>
      </c>
      <c r="B3" s="28" t="s">
        <v>135</v>
      </c>
      <c r="C3" s="28">
        <f>COUNT(Dublin!C2:C55)</f>
        <v>54</v>
      </c>
      <c r="N3" s="129" t="s">
        <v>134</v>
      </c>
      <c r="O3" s="28" t="s">
        <v>135</v>
      </c>
      <c r="P3" s="28">
        <f>COUNT(Cork!C2:C55)</f>
        <v>54</v>
      </c>
    </row>
    <row r="4" spans="1:21" x14ac:dyDescent="0.3">
      <c r="A4" s="129" t="s">
        <v>136</v>
      </c>
      <c r="B4" s="28" t="s">
        <v>137</v>
      </c>
      <c r="C4" s="29">
        <f>AVERAGE(Dublin!C2:C55)</f>
        <v>6209078.944444444</v>
      </c>
      <c r="J4" s="120" t="s">
        <v>138</v>
      </c>
      <c r="K4" s="121" t="s">
        <v>139</v>
      </c>
      <c r="N4" s="129" t="s">
        <v>136</v>
      </c>
      <c r="O4" s="28" t="s">
        <v>137</v>
      </c>
      <c r="P4" s="28">
        <f>AVERAGE(Cork!C2:C55)</f>
        <v>533698.5</v>
      </c>
    </row>
    <row r="5" spans="1:21" x14ac:dyDescent="0.3">
      <c r="A5" s="129" t="s">
        <v>140</v>
      </c>
      <c r="B5" s="28" t="s">
        <v>141</v>
      </c>
      <c r="C5" s="29">
        <f>_xlfn.STDEV.S(Dublin!C2:C55)</f>
        <v>2545648.9782591369</v>
      </c>
      <c r="J5" s="122" t="s">
        <v>142</v>
      </c>
      <c r="K5" s="123" t="s">
        <v>143</v>
      </c>
      <c r="N5" s="129" t="s">
        <v>140</v>
      </c>
      <c r="O5" s="28" t="s">
        <v>141</v>
      </c>
      <c r="P5" s="28">
        <f>_xlfn.STDEV.S(Cork!C2:C55)</f>
        <v>240056.80583559917</v>
      </c>
    </row>
    <row r="6" spans="1:21" x14ac:dyDescent="0.3">
      <c r="A6" s="3"/>
      <c r="J6" s="122" t="s">
        <v>136</v>
      </c>
      <c r="K6" s="123" t="s">
        <v>144</v>
      </c>
    </row>
    <row r="7" spans="1:21" x14ac:dyDescent="0.3">
      <c r="J7" s="122" t="s">
        <v>145</v>
      </c>
      <c r="K7" s="123" t="s">
        <v>146</v>
      </c>
    </row>
    <row r="8" spans="1:21" ht="15" thickBot="1" x14ac:dyDescent="0.35">
      <c r="J8" s="124" t="s">
        <v>147</v>
      </c>
      <c r="K8" s="125" t="s">
        <v>148</v>
      </c>
    </row>
    <row r="10" spans="1:21" ht="16.2" thickBot="1" x14ac:dyDescent="0.35">
      <c r="A10" s="8"/>
      <c r="B10" s="8"/>
      <c r="C10" s="8"/>
      <c r="D10" s="8"/>
      <c r="E10" s="8"/>
      <c r="F10" s="8"/>
      <c r="G10" s="135" t="s">
        <v>149</v>
      </c>
      <c r="H10" s="136"/>
      <c r="N10" s="8"/>
      <c r="O10" s="8"/>
      <c r="P10" s="8"/>
      <c r="Q10" s="8"/>
      <c r="R10" s="8"/>
      <c r="S10" s="8"/>
      <c r="T10" s="135" t="s">
        <v>149</v>
      </c>
      <c r="U10" s="136"/>
    </row>
    <row r="11" spans="1:21" ht="15.6" x14ac:dyDescent="0.3">
      <c r="A11" s="17" t="s">
        <v>150</v>
      </c>
      <c r="B11" s="18" t="s">
        <v>151</v>
      </c>
      <c r="C11" s="18" t="s">
        <v>152</v>
      </c>
      <c r="D11" s="18" t="s">
        <v>138</v>
      </c>
      <c r="E11" s="18" t="s">
        <v>136</v>
      </c>
      <c r="F11" s="19" t="s">
        <v>142</v>
      </c>
      <c r="G11" s="18" t="s">
        <v>153</v>
      </c>
      <c r="H11" s="20" t="s">
        <v>147</v>
      </c>
      <c r="N11" s="17" t="s">
        <v>150</v>
      </c>
      <c r="O11" s="18" t="s">
        <v>151</v>
      </c>
      <c r="P11" s="18" t="s">
        <v>152</v>
      </c>
      <c r="Q11" s="18" t="s">
        <v>138</v>
      </c>
      <c r="R11" s="18" t="s">
        <v>136</v>
      </c>
      <c r="S11" s="19" t="s">
        <v>142</v>
      </c>
      <c r="T11" s="18" t="s">
        <v>153</v>
      </c>
      <c r="U11" s="20" t="s">
        <v>147</v>
      </c>
    </row>
    <row r="12" spans="1:21" x14ac:dyDescent="0.3">
      <c r="A12" s="21">
        <v>0.1</v>
      </c>
      <c r="B12" s="30">
        <f>1-A12</f>
        <v>0.9</v>
      </c>
      <c r="C12" s="31">
        <f>_xlfn.NORM.S.INV(A12/2)</f>
        <v>-1.6448536269514726</v>
      </c>
      <c r="D12" s="31">
        <f>$C$5/SQRT($C$3)</f>
        <v>346418.94783179072</v>
      </c>
      <c r="E12" s="31">
        <f>$C$4</f>
        <v>6209078.944444444</v>
      </c>
      <c r="F12" s="22">
        <f>ABS(C12*D12)</f>
        <v>569808.46278583398</v>
      </c>
      <c r="G12" s="31">
        <f>E12-F12</f>
        <v>5639270.4816586096</v>
      </c>
      <c r="H12" s="16">
        <f>E12+F12</f>
        <v>6778887.4072302785</v>
      </c>
      <c r="N12" s="21">
        <v>0.1</v>
      </c>
      <c r="O12" s="30">
        <f>1-N12</f>
        <v>0.9</v>
      </c>
      <c r="P12" s="36">
        <f>_xlfn.NORM.S.INV(N12/2)</f>
        <v>-1.6448536269514726</v>
      </c>
      <c r="Q12" s="36">
        <f>$P$5/SQRT($P$3)</f>
        <v>32667.593532199618</v>
      </c>
      <c r="R12" s="36">
        <f>$P$4</f>
        <v>533698.5</v>
      </c>
      <c r="S12" s="36">
        <f>ABS(P12*Q12)</f>
        <v>53733.40970521501</v>
      </c>
      <c r="T12" s="36">
        <f>R12-S12</f>
        <v>479965.09029478498</v>
      </c>
      <c r="U12" s="37">
        <f>R12+S12</f>
        <v>587431.90970521502</v>
      </c>
    </row>
    <row r="13" spans="1:21" x14ac:dyDescent="0.3">
      <c r="A13" s="21">
        <v>0.05</v>
      </c>
      <c r="B13" s="30">
        <f>1-A13</f>
        <v>0.95</v>
      </c>
      <c r="C13" s="31">
        <f>_xlfn.NORM.S.INV(A13/2)</f>
        <v>-1.9599639845400538</v>
      </c>
      <c r="D13" s="31">
        <f>$C$5/SQRT($C$3)</f>
        <v>346418.94783179072</v>
      </c>
      <c r="E13" s="31">
        <f t="shared" ref="E13:E14" si="0">$C$4</f>
        <v>6209078.944444444</v>
      </c>
      <c r="F13" s="22">
        <f t="shared" ref="F13:F14" si="1">ABS(C13*D13)</f>
        <v>678968.66131256963</v>
      </c>
      <c r="G13" s="31">
        <f>E13-F13</f>
        <v>5530110.2831318742</v>
      </c>
      <c r="H13" s="16">
        <f>E13+F13</f>
        <v>6888047.6057570139</v>
      </c>
      <c r="N13" s="21">
        <v>0.05</v>
      </c>
      <c r="O13" s="30">
        <f>1-N13</f>
        <v>0.95</v>
      </c>
      <c r="P13" s="36">
        <f t="shared" ref="P13:P14" si="2">_xlfn.NORM.S.INV(N13/2)</f>
        <v>-1.9599639845400538</v>
      </c>
      <c r="Q13" s="36">
        <f t="shared" ref="Q13:Q14" si="3">$P$5/SQRT($P$3)</f>
        <v>32667.593532199618</v>
      </c>
      <c r="R13" s="36">
        <f t="shared" ref="R13:R14" si="4">$P$4</f>
        <v>533698.5</v>
      </c>
      <c r="S13" s="36">
        <f t="shared" ref="S13:S14" si="5">ABS(P13*Q13)</f>
        <v>64027.306784704859</v>
      </c>
      <c r="T13" s="36">
        <f t="shared" ref="T13:T14" si="6">R13-S13</f>
        <v>469671.19321529515</v>
      </c>
      <c r="U13" s="37">
        <f t="shared" ref="U13:U14" si="7">R13+S13</f>
        <v>597725.80678470491</v>
      </c>
    </row>
    <row r="14" spans="1:21" ht="15" thickBot="1" x14ac:dyDescent="0.35">
      <c r="A14" s="23">
        <v>0.01</v>
      </c>
      <c r="B14" s="24">
        <f>1-A14</f>
        <v>0.99</v>
      </c>
      <c r="C14" s="25">
        <f>_xlfn.NORM.S.INV(A14/2)</f>
        <v>-2.5758293035488999</v>
      </c>
      <c r="D14" s="25">
        <f>$C$5/SQRT($C$3)</f>
        <v>346418.94783179072</v>
      </c>
      <c r="E14" s="25">
        <f t="shared" si="0"/>
        <v>6209078.944444444</v>
      </c>
      <c r="F14" s="26">
        <f t="shared" si="1"/>
        <v>892316.07712970418</v>
      </c>
      <c r="G14" s="25">
        <f>E14-F14</f>
        <v>5316762.8673147401</v>
      </c>
      <c r="H14" s="27">
        <f>E14+F14</f>
        <v>7101395.021574148</v>
      </c>
      <c r="N14" s="23">
        <v>0.01</v>
      </c>
      <c r="O14" s="24">
        <f>1-N14</f>
        <v>0.99</v>
      </c>
      <c r="P14" s="38">
        <f t="shared" si="2"/>
        <v>-2.5758293035488999</v>
      </c>
      <c r="Q14" s="38">
        <f t="shared" si="3"/>
        <v>32667.593532199618</v>
      </c>
      <c r="R14" s="38">
        <f t="shared" si="4"/>
        <v>533698.5</v>
      </c>
      <c r="S14" s="38">
        <f t="shared" si="5"/>
        <v>84146.144696664298</v>
      </c>
      <c r="T14" s="38">
        <f t="shared" si="6"/>
        <v>449552.3553033357</v>
      </c>
      <c r="U14" s="39">
        <f t="shared" si="7"/>
        <v>617844.6446966643</v>
      </c>
    </row>
  </sheetData>
  <mergeCells count="2">
    <mergeCell ref="G10:H10"/>
    <mergeCell ref="T10:U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DEDB7-5297-4AC3-BF26-9442039D6E5F}">
  <dimension ref="A1:T35"/>
  <sheetViews>
    <sheetView showGridLines="0" showRowColHeaders="0" topLeftCell="C1" zoomScale="90" zoomScaleNormal="90" workbookViewId="0">
      <selection activeCell="L22" sqref="L22"/>
    </sheetView>
  </sheetViews>
  <sheetFormatPr defaultRowHeight="14.4" x14ac:dyDescent="0.3"/>
  <cols>
    <col min="1" max="1" width="15.88671875" hidden="1" customWidth="1"/>
    <col min="2" max="2" width="17" hidden="1" customWidth="1"/>
    <col min="3" max="3" width="11" bestFit="1" customWidth="1"/>
    <col min="5" max="5" width="13.33203125" bestFit="1" customWidth="1"/>
    <col min="6" max="7" width="45.109375" customWidth="1"/>
    <col min="8" max="8" width="19.88671875" customWidth="1"/>
  </cols>
  <sheetData>
    <row r="1" spans="1:20" ht="18.600000000000001" thickBot="1" x14ac:dyDescent="0.4">
      <c r="F1" s="130" t="s">
        <v>231</v>
      </c>
      <c r="G1" s="131"/>
    </row>
    <row r="2" spans="1:20" ht="15" thickBot="1" x14ac:dyDescent="0.35">
      <c r="A2" s="44" t="s">
        <v>154</v>
      </c>
      <c r="B2" s="45" t="s">
        <v>155</v>
      </c>
      <c r="C2" s="40"/>
      <c r="D2" s="40"/>
      <c r="E2" s="40"/>
      <c r="F2" s="40"/>
    </row>
    <row r="3" spans="1:20" ht="15.6" x14ac:dyDescent="0.3">
      <c r="A3" s="41">
        <v>4546115</v>
      </c>
      <c r="B3">
        <v>4700322</v>
      </c>
      <c r="C3" s="41"/>
      <c r="D3" s="70"/>
      <c r="E3" s="42"/>
      <c r="F3" s="143" t="s">
        <v>156</v>
      </c>
      <c r="G3" s="144" t="s">
        <v>157</v>
      </c>
      <c r="H3" s="145"/>
      <c r="Q3" s="141" t="s">
        <v>158</v>
      </c>
      <c r="R3" s="142"/>
      <c r="S3" s="142"/>
      <c r="T3" s="142"/>
    </row>
    <row r="4" spans="1:20" ht="15.6" x14ac:dyDescent="0.3">
      <c r="A4" s="41">
        <v>6478251</v>
      </c>
      <c r="B4">
        <v>9134970</v>
      </c>
      <c r="C4" s="41"/>
      <c r="D4" s="46"/>
      <c r="E4" s="42"/>
      <c r="F4" s="143"/>
      <c r="G4" s="55" t="s">
        <v>159</v>
      </c>
      <c r="H4" s="47">
        <f>COUNT(A3:A34)</f>
        <v>32</v>
      </c>
      <c r="Q4" s="142"/>
      <c r="R4" s="142"/>
      <c r="S4" s="142"/>
      <c r="T4" s="142"/>
    </row>
    <row r="5" spans="1:20" ht="15.6" x14ac:dyDescent="0.3">
      <c r="A5" s="41">
        <v>7367068</v>
      </c>
      <c r="B5">
        <v>10444239</v>
      </c>
      <c r="C5" s="41"/>
      <c r="D5" s="42"/>
      <c r="E5" s="42"/>
      <c r="F5" s="143"/>
      <c r="G5" s="55" t="s">
        <v>160</v>
      </c>
      <c r="H5" s="47">
        <f>COUNT(B3:B16)</f>
        <v>14</v>
      </c>
      <c r="Q5" s="142"/>
      <c r="R5" s="142"/>
      <c r="S5" s="142"/>
      <c r="T5" s="142"/>
    </row>
    <row r="6" spans="1:20" ht="15.6" x14ac:dyDescent="0.3">
      <c r="A6" s="41">
        <v>5282939</v>
      </c>
      <c r="B6">
        <v>8238809</v>
      </c>
      <c r="C6" s="41"/>
      <c r="D6" s="42"/>
      <c r="E6" s="42"/>
      <c r="F6" s="143"/>
      <c r="G6" s="55" t="s">
        <v>161</v>
      </c>
      <c r="H6" s="47">
        <f>AVERAGE(A3:A34)</f>
        <v>7692378</v>
      </c>
      <c r="Q6" s="142"/>
      <c r="R6" s="142"/>
      <c r="S6" s="142"/>
      <c r="T6" s="142"/>
    </row>
    <row r="7" spans="1:20" ht="15.6" x14ac:dyDescent="0.3">
      <c r="A7" s="41">
        <v>4676120</v>
      </c>
      <c r="B7">
        <v>7622484</v>
      </c>
      <c r="C7" s="41"/>
      <c r="D7" s="42"/>
      <c r="E7" s="42"/>
      <c r="F7" s="143"/>
      <c r="G7" s="55" t="s">
        <v>162</v>
      </c>
      <c r="H7" s="47">
        <f>AVERAGE(B3:B16)</f>
        <v>9495896.8571428563</v>
      </c>
      <c r="Q7" s="142"/>
      <c r="R7" s="142"/>
      <c r="S7" s="142"/>
      <c r="T7" s="142"/>
    </row>
    <row r="8" spans="1:20" ht="15.6" x14ac:dyDescent="0.3">
      <c r="A8" s="41">
        <v>6747049</v>
      </c>
      <c r="B8">
        <v>10744701</v>
      </c>
      <c r="C8" s="41"/>
      <c r="D8" s="42"/>
      <c r="E8" s="42"/>
      <c r="F8" s="143"/>
      <c r="G8" s="55" t="s">
        <v>163</v>
      </c>
      <c r="H8" s="47">
        <f>STDEV(A3:A34)</f>
        <v>1910403.2928930426</v>
      </c>
      <c r="J8">
        <f>(H6-H7)/-2.74</f>
        <v>658218.56100104237</v>
      </c>
    </row>
    <row r="9" spans="1:20" ht="15.6" x14ac:dyDescent="0.3">
      <c r="A9" s="41">
        <v>7719407</v>
      </c>
      <c r="B9">
        <v>11799615</v>
      </c>
      <c r="C9" s="41"/>
      <c r="D9" s="42"/>
      <c r="E9" s="42"/>
      <c r="F9" s="143"/>
      <c r="G9" s="56" t="s">
        <v>164</v>
      </c>
      <c r="H9" s="48">
        <f>STDEV(B3:B16)</f>
        <v>2099755.4976588571</v>
      </c>
    </row>
    <row r="10" spans="1:20" ht="15.6" x14ac:dyDescent="0.3">
      <c r="A10" s="41">
        <v>5538476</v>
      </c>
      <c r="B10">
        <v>9019601</v>
      </c>
      <c r="C10" s="41"/>
      <c r="D10" s="42"/>
      <c r="E10" s="42"/>
      <c r="F10" s="53"/>
      <c r="G10" s="53"/>
      <c r="H10" s="49"/>
      <c r="Q10" s="141" t="s">
        <v>165</v>
      </c>
      <c r="R10" s="142"/>
      <c r="S10" s="142"/>
      <c r="T10" s="142"/>
    </row>
    <row r="11" spans="1:20" ht="15.6" x14ac:dyDescent="0.3">
      <c r="A11" s="41">
        <v>4804441</v>
      </c>
      <c r="B11">
        <v>8227159</v>
      </c>
      <c r="C11" s="41"/>
      <c r="D11" s="42"/>
      <c r="E11" s="42"/>
      <c r="F11" s="146" t="s">
        <v>166</v>
      </c>
      <c r="G11" s="57" t="s">
        <v>167</v>
      </c>
      <c r="H11" s="50" t="s">
        <v>168</v>
      </c>
      <c r="Q11" s="142"/>
      <c r="R11" s="142"/>
      <c r="S11" s="142"/>
      <c r="T11" s="142"/>
    </row>
    <row r="12" spans="1:20" ht="31.2" x14ac:dyDescent="0.3">
      <c r="A12" s="41">
        <v>7278735</v>
      </c>
      <c r="B12">
        <v>11231664</v>
      </c>
      <c r="C12" s="41"/>
      <c r="D12" s="42"/>
      <c r="E12" s="42"/>
      <c r="F12" s="147"/>
      <c r="G12" s="58" t="s">
        <v>169</v>
      </c>
      <c r="H12" s="67">
        <v>0</v>
      </c>
      <c r="Q12" s="142"/>
      <c r="R12" s="142"/>
      <c r="S12" s="142"/>
      <c r="T12" s="142"/>
    </row>
    <row r="13" spans="1:20" ht="15.6" x14ac:dyDescent="0.3">
      <c r="A13" s="41">
        <v>8219084</v>
      </c>
      <c r="B13">
        <v>12364310</v>
      </c>
      <c r="C13" s="41"/>
      <c r="D13" s="42"/>
      <c r="E13" s="42"/>
      <c r="F13" s="54" t="s">
        <v>170</v>
      </c>
      <c r="G13" s="53"/>
      <c r="H13" s="47" t="s">
        <v>170</v>
      </c>
      <c r="Q13" s="142"/>
      <c r="R13" s="142"/>
      <c r="S13" s="142"/>
      <c r="T13" s="142"/>
    </row>
    <row r="14" spans="1:20" ht="15.6" x14ac:dyDescent="0.3">
      <c r="A14" s="41">
        <v>6084540</v>
      </c>
      <c r="B14">
        <v>9164632</v>
      </c>
      <c r="C14" s="41"/>
      <c r="D14" s="42"/>
      <c r="E14" s="42"/>
      <c r="F14" s="137" t="s">
        <v>171</v>
      </c>
      <c r="G14" s="59" t="s">
        <v>172</v>
      </c>
      <c r="H14" s="50" t="s">
        <v>173</v>
      </c>
    </row>
    <row r="15" spans="1:20" ht="15.6" x14ac:dyDescent="0.3">
      <c r="A15" s="41">
        <v>5541321</v>
      </c>
      <c r="B15">
        <v>8207430</v>
      </c>
      <c r="C15" s="41"/>
      <c r="D15" s="42"/>
      <c r="E15" s="42"/>
      <c r="F15" s="137"/>
      <c r="G15" s="54" t="s">
        <v>170</v>
      </c>
      <c r="H15" s="47" t="s">
        <v>170</v>
      </c>
    </row>
    <row r="16" spans="1:20" ht="15.6" x14ac:dyDescent="0.3">
      <c r="A16" s="41">
        <v>8072483</v>
      </c>
      <c r="B16">
        <v>12042620</v>
      </c>
      <c r="C16" s="41"/>
      <c r="D16" s="42"/>
      <c r="E16" s="42"/>
      <c r="F16" s="137"/>
      <c r="G16" s="60" t="s">
        <v>174</v>
      </c>
      <c r="H16" s="47" t="s">
        <v>175</v>
      </c>
    </row>
    <row r="17" spans="1:8" ht="15.6" x14ac:dyDescent="0.3">
      <c r="A17" s="41">
        <v>9166638</v>
      </c>
      <c r="B17" s="41"/>
      <c r="C17" s="41"/>
      <c r="D17" s="42"/>
      <c r="E17" s="42"/>
      <c r="F17" s="137"/>
      <c r="G17" s="54" t="s">
        <v>170</v>
      </c>
      <c r="H17" s="47" t="s">
        <v>170</v>
      </c>
    </row>
    <row r="18" spans="1:8" ht="15.6" x14ac:dyDescent="0.3">
      <c r="A18" s="41">
        <v>6878352</v>
      </c>
      <c r="B18" s="41"/>
      <c r="C18" s="41"/>
      <c r="D18" s="42"/>
      <c r="E18" s="42"/>
      <c r="F18" s="137"/>
      <c r="G18" s="56" t="s">
        <v>176</v>
      </c>
      <c r="H18" s="48" t="s">
        <v>177</v>
      </c>
    </row>
    <row r="19" spans="1:8" ht="15.6" x14ac:dyDescent="0.3">
      <c r="A19" s="41">
        <v>6419047</v>
      </c>
      <c r="B19" s="41"/>
      <c r="C19" s="41"/>
      <c r="D19" s="42"/>
      <c r="E19" s="42"/>
      <c r="F19" s="54" t="s">
        <v>170</v>
      </c>
      <c r="G19" s="53"/>
      <c r="H19" s="47" t="s">
        <v>170</v>
      </c>
    </row>
    <row r="20" spans="1:8" ht="15.6" x14ac:dyDescent="0.3">
      <c r="A20" s="41">
        <v>8814289</v>
      </c>
      <c r="B20" s="41"/>
      <c r="C20" s="41"/>
      <c r="D20" s="42"/>
      <c r="E20" s="42"/>
      <c r="F20" s="138" t="s">
        <v>178</v>
      </c>
      <c r="G20" s="61" t="s">
        <v>139</v>
      </c>
      <c r="H20" s="50">
        <f>SQRT((H8^2/H4)+(H9^2/H7))</f>
        <v>337715.46821953828</v>
      </c>
    </row>
    <row r="21" spans="1:8" ht="15.6" x14ac:dyDescent="0.3">
      <c r="A21" s="41">
        <v>9989845</v>
      </c>
      <c r="B21" s="41"/>
      <c r="C21" s="41"/>
      <c r="D21" s="42"/>
      <c r="E21" s="42"/>
      <c r="F21" s="138"/>
      <c r="G21" s="54" t="s">
        <v>170</v>
      </c>
      <c r="H21" s="47" t="s">
        <v>170</v>
      </c>
    </row>
    <row r="22" spans="1:8" ht="15.6" x14ac:dyDescent="0.3">
      <c r="A22" s="41">
        <v>7518046</v>
      </c>
      <c r="B22" s="41"/>
      <c r="C22" s="41"/>
      <c r="D22" s="42"/>
      <c r="E22" s="42"/>
      <c r="F22" s="138"/>
      <c r="G22" s="62" t="s">
        <v>179</v>
      </c>
      <c r="H22" s="47">
        <f>(H6-H7)/H20</f>
        <v>-5.3403501671129998</v>
      </c>
    </row>
    <row r="23" spans="1:8" ht="15.6" x14ac:dyDescent="0.3">
      <c r="A23" s="41">
        <v>6678744</v>
      </c>
      <c r="B23" s="41"/>
      <c r="C23" s="41"/>
      <c r="D23" s="42"/>
      <c r="E23" s="42"/>
      <c r="F23" s="138"/>
      <c r="G23" s="62" t="s">
        <v>180</v>
      </c>
      <c r="H23" s="47" t="s">
        <v>170</v>
      </c>
    </row>
    <row r="24" spans="1:8" ht="15.6" x14ac:dyDescent="0.3">
      <c r="A24" s="41">
        <v>9359711</v>
      </c>
      <c r="B24" s="41"/>
      <c r="C24" s="41"/>
      <c r="D24" s="42"/>
      <c r="E24" s="42"/>
      <c r="F24" s="138"/>
      <c r="G24" s="54" t="s">
        <v>181</v>
      </c>
      <c r="H24" s="47">
        <f>((H8^2/H4+H9^2/H5)^2)/((H8^2/H4)^2/(H4-1)+(H9^2/H5)^2/(H5-1))</f>
        <v>22.863458545174879</v>
      </c>
    </row>
    <row r="25" spans="1:8" ht="15.6" x14ac:dyDescent="0.3">
      <c r="A25" s="41">
        <v>10524366</v>
      </c>
      <c r="B25" s="41"/>
      <c r="C25" s="41"/>
      <c r="D25" s="42"/>
      <c r="E25" s="42"/>
      <c r="F25" s="138"/>
      <c r="G25" s="63" t="s">
        <v>182</v>
      </c>
      <c r="H25" s="68">
        <f>_xlfn.T.DIST.2T(ABS(H22),H24)</f>
        <v>2.3201329699008719E-5</v>
      </c>
    </row>
    <row r="26" spans="1:8" ht="15.6" x14ac:dyDescent="0.3">
      <c r="A26" s="41">
        <v>7876478</v>
      </c>
      <c r="B26" s="41"/>
      <c r="C26" s="41"/>
      <c r="D26" s="42"/>
      <c r="E26" s="42"/>
      <c r="F26" s="138"/>
      <c r="G26" s="58" t="s">
        <v>167</v>
      </c>
      <c r="H26" s="48">
        <v>0.05</v>
      </c>
    </row>
    <row r="27" spans="1:8" ht="15.6" x14ac:dyDescent="0.3">
      <c r="A27" s="41">
        <v>6939843</v>
      </c>
      <c r="B27" s="41"/>
      <c r="C27" s="41"/>
      <c r="D27" s="42"/>
      <c r="E27" s="42"/>
      <c r="F27" s="54" t="s">
        <v>170</v>
      </c>
      <c r="G27" s="53"/>
      <c r="H27" s="47" t="s">
        <v>170</v>
      </c>
    </row>
    <row r="28" spans="1:8" ht="15.6" x14ac:dyDescent="0.3">
      <c r="A28" s="41">
        <v>10031143</v>
      </c>
      <c r="B28" s="41"/>
      <c r="C28" s="41"/>
      <c r="D28" s="42"/>
      <c r="E28" s="42"/>
      <c r="F28" s="139" t="s">
        <v>183</v>
      </c>
      <c r="G28" s="64" t="s">
        <v>184</v>
      </c>
      <c r="H28" s="50" t="s">
        <v>185</v>
      </c>
    </row>
    <row r="29" spans="1:8" ht="15.6" x14ac:dyDescent="0.3">
      <c r="A29" s="41">
        <v>11131101</v>
      </c>
      <c r="B29" s="41"/>
      <c r="C29" s="41"/>
      <c r="D29" s="42"/>
      <c r="E29" s="42"/>
      <c r="F29" s="139"/>
      <c r="G29" s="65" t="s">
        <v>170</v>
      </c>
      <c r="H29" s="47" t="s">
        <v>170</v>
      </c>
    </row>
    <row r="30" spans="1:8" ht="140.4" x14ac:dyDescent="0.3">
      <c r="A30" s="41">
        <v>8419046</v>
      </c>
      <c r="B30" s="41"/>
      <c r="C30" s="41"/>
      <c r="D30" s="42"/>
      <c r="E30" s="42"/>
      <c r="F30" s="140"/>
      <c r="G30" s="66" t="s">
        <v>186</v>
      </c>
      <c r="H30" s="52" t="s">
        <v>187</v>
      </c>
    </row>
    <row r="31" spans="1:8" x14ac:dyDescent="0.3">
      <c r="A31" s="41">
        <v>7435673</v>
      </c>
      <c r="B31" s="41"/>
      <c r="C31" s="41"/>
      <c r="D31" s="42"/>
      <c r="E31" s="42"/>
      <c r="F31" s="41"/>
    </row>
    <row r="32" spans="1:8" x14ac:dyDescent="0.3">
      <c r="A32" s="41">
        <v>10479523</v>
      </c>
      <c r="B32" s="41"/>
      <c r="C32" s="41"/>
      <c r="D32" s="42"/>
      <c r="E32" s="42"/>
      <c r="F32" s="41"/>
    </row>
    <row r="33" spans="1:6" x14ac:dyDescent="0.3">
      <c r="A33" s="41">
        <v>11597270</v>
      </c>
      <c r="B33" s="41"/>
      <c r="C33" s="41"/>
      <c r="D33" s="42"/>
      <c r="E33" s="42"/>
      <c r="F33" s="41"/>
    </row>
    <row r="34" spans="1:6" x14ac:dyDescent="0.3">
      <c r="A34" s="41">
        <v>8540952</v>
      </c>
      <c r="B34" s="41"/>
      <c r="C34" s="41"/>
      <c r="D34" s="42"/>
      <c r="E34" s="42"/>
      <c r="F34" s="41"/>
    </row>
    <row r="35" spans="1:6" x14ac:dyDescent="0.3">
      <c r="A35" s="41"/>
    </row>
  </sheetData>
  <mergeCells count="8">
    <mergeCell ref="F14:F18"/>
    <mergeCell ref="F20:F26"/>
    <mergeCell ref="F28:F30"/>
    <mergeCell ref="Q3:T7"/>
    <mergeCell ref="Q10:T13"/>
    <mergeCell ref="F3:F9"/>
    <mergeCell ref="G3:H3"/>
    <mergeCell ref="F11:F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98878-E816-49F0-BE37-A0B15F8BFE62}">
  <dimension ref="A1:T57"/>
  <sheetViews>
    <sheetView showGridLines="0" showRowColHeaders="0" topLeftCell="C1" zoomScale="80" zoomScaleNormal="80" workbookViewId="0">
      <selection activeCell="K12" sqref="K12"/>
    </sheetView>
  </sheetViews>
  <sheetFormatPr defaultRowHeight="14.4" x14ac:dyDescent="0.3"/>
  <cols>
    <col min="1" max="2" width="0" hidden="1" customWidth="1"/>
    <col min="4" max="4" width="10.33203125" customWidth="1"/>
    <col min="6" max="6" width="36.109375" customWidth="1"/>
    <col min="7" max="7" width="54.109375" customWidth="1"/>
    <col min="8" max="8" width="18.44140625" customWidth="1"/>
  </cols>
  <sheetData>
    <row r="1" spans="1:20" ht="36.6" thickBot="1" x14ac:dyDescent="0.35">
      <c r="G1" s="132" t="s">
        <v>232</v>
      </c>
    </row>
    <row r="2" spans="1:20" ht="15" thickBot="1" x14ac:dyDescent="0.35"/>
    <row r="3" spans="1:20" ht="16.2" thickBot="1" x14ac:dyDescent="0.35">
      <c r="A3" s="3" t="s">
        <v>47</v>
      </c>
      <c r="B3" s="3" t="s">
        <v>46</v>
      </c>
      <c r="F3" s="153" t="s">
        <v>188</v>
      </c>
      <c r="G3" s="144" t="s">
        <v>157</v>
      </c>
      <c r="H3" s="145"/>
    </row>
    <row r="4" spans="1:20" ht="15.6" x14ac:dyDescent="0.3">
      <c r="A4">
        <v>3740432</v>
      </c>
      <c r="B4">
        <v>432766</v>
      </c>
      <c r="F4" s="153"/>
      <c r="G4" s="55" t="s">
        <v>159</v>
      </c>
      <c r="H4" s="47">
        <f>COUNT(A4:A57)</f>
        <v>54</v>
      </c>
      <c r="Q4" s="141" t="s">
        <v>189</v>
      </c>
      <c r="R4" s="142"/>
      <c r="S4" s="142"/>
      <c r="T4" s="142"/>
    </row>
    <row r="5" spans="1:20" ht="15.6" x14ac:dyDescent="0.3">
      <c r="A5">
        <v>5180478</v>
      </c>
      <c r="B5">
        <v>648839</v>
      </c>
      <c r="F5" s="153"/>
      <c r="G5" s="55" t="s">
        <v>160</v>
      </c>
      <c r="H5" s="47">
        <f>COUNT(B4:B57)</f>
        <v>54</v>
      </c>
      <c r="Q5" s="142"/>
      <c r="R5" s="142"/>
      <c r="S5" s="142"/>
      <c r="T5" s="142"/>
    </row>
    <row r="6" spans="1:20" ht="15.6" x14ac:dyDescent="0.3">
      <c r="A6">
        <v>5851043</v>
      </c>
      <c r="B6">
        <v>754985</v>
      </c>
      <c r="D6" s="43" t="s">
        <v>190</v>
      </c>
      <c r="F6" s="153"/>
      <c r="G6" s="55" t="s">
        <v>161</v>
      </c>
      <c r="H6" s="47">
        <f>AVERAGE(A4:A57)</f>
        <v>6209078.944444444</v>
      </c>
      <c r="Q6" s="142"/>
      <c r="R6" s="142"/>
      <c r="S6" s="142"/>
      <c r="T6" s="142"/>
    </row>
    <row r="7" spans="1:20" ht="15.6" x14ac:dyDescent="0.3">
      <c r="A7">
        <v>4318828</v>
      </c>
      <c r="B7">
        <v>497053</v>
      </c>
      <c r="D7">
        <f>_xlfn.T.TEST(A4:A57,B4:B57,1,2)</f>
        <v>5.7362053390021582E-31</v>
      </c>
      <c r="F7" s="153"/>
      <c r="G7" s="55" t="s">
        <v>162</v>
      </c>
      <c r="H7" s="47">
        <f>AVERAGE(B4:B57)</f>
        <v>533698.5</v>
      </c>
      <c r="Q7" s="142"/>
      <c r="R7" s="142"/>
      <c r="S7" s="142"/>
      <c r="T7" s="142"/>
    </row>
    <row r="8" spans="1:20" ht="15.6" x14ac:dyDescent="0.3">
      <c r="A8">
        <v>3874988</v>
      </c>
      <c r="B8">
        <v>436568</v>
      </c>
      <c r="F8" s="153"/>
      <c r="G8" s="55" t="s">
        <v>191</v>
      </c>
      <c r="H8" s="47">
        <f>STDEV(A4:A57)</f>
        <v>2545648.9782591369</v>
      </c>
      <c r="Q8" s="142"/>
      <c r="R8" s="142"/>
      <c r="S8" s="142"/>
      <c r="T8" s="142"/>
    </row>
    <row r="9" spans="1:20" ht="15.6" x14ac:dyDescent="0.3">
      <c r="A9">
        <v>5460037</v>
      </c>
      <c r="B9">
        <v>634674</v>
      </c>
      <c r="F9" s="153"/>
      <c r="G9" s="56" t="s">
        <v>192</v>
      </c>
      <c r="H9" s="48">
        <f>STDEV(B4:B57)</f>
        <v>240056.80583559917</v>
      </c>
    </row>
    <row r="10" spans="1:20" ht="15" customHeight="1" x14ac:dyDescent="0.3">
      <c r="A10">
        <v>6211891</v>
      </c>
      <c r="B10">
        <v>713739</v>
      </c>
      <c r="F10" s="49"/>
      <c r="G10" s="53"/>
      <c r="H10" s="49"/>
    </row>
    <row r="11" spans="1:20" ht="15.6" x14ac:dyDescent="0.3">
      <c r="A11">
        <v>4601658</v>
      </c>
      <c r="B11">
        <v>467655</v>
      </c>
      <c r="F11" s="146" t="s">
        <v>166</v>
      </c>
      <c r="G11" s="57" t="s">
        <v>167</v>
      </c>
      <c r="H11" s="50">
        <v>0.05</v>
      </c>
      <c r="Q11" s="141" t="s">
        <v>193</v>
      </c>
      <c r="R11" s="141"/>
      <c r="S11" s="141"/>
      <c r="T11" s="141"/>
    </row>
    <row r="12" spans="1:20" ht="15.6" x14ac:dyDescent="0.3">
      <c r="A12">
        <v>4062698</v>
      </c>
      <c r="B12">
        <v>400785</v>
      </c>
      <c r="F12" s="147"/>
      <c r="G12" s="58" t="s">
        <v>169</v>
      </c>
      <c r="H12" s="48">
        <v>0</v>
      </c>
      <c r="Q12" s="141"/>
      <c r="R12" s="141"/>
      <c r="S12" s="141"/>
      <c r="T12" s="141"/>
    </row>
    <row r="13" spans="1:20" ht="15.6" x14ac:dyDescent="0.3">
      <c r="A13">
        <v>5914826</v>
      </c>
      <c r="B13">
        <v>610996</v>
      </c>
      <c r="F13" s="51" t="s">
        <v>170</v>
      </c>
      <c r="G13" s="53"/>
      <c r="H13" s="47" t="s">
        <v>170</v>
      </c>
      <c r="Q13" s="141"/>
      <c r="R13" s="141"/>
      <c r="S13" s="141"/>
      <c r="T13" s="141"/>
    </row>
    <row r="14" spans="1:20" ht="15" customHeight="1" x14ac:dyDescent="0.3">
      <c r="A14">
        <v>6617238</v>
      </c>
      <c r="B14">
        <v>685538</v>
      </c>
      <c r="F14" s="154" t="s">
        <v>171</v>
      </c>
      <c r="G14" s="59" t="s">
        <v>172</v>
      </c>
      <c r="H14" s="151" t="s">
        <v>194</v>
      </c>
      <c r="Q14" s="141"/>
      <c r="R14" s="141"/>
      <c r="S14" s="141"/>
      <c r="T14" s="141"/>
    </row>
    <row r="15" spans="1:20" ht="15.6" x14ac:dyDescent="0.3">
      <c r="A15">
        <v>5100131</v>
      </c>
      <c r="B15">
        <v>440738</v>
      </c>
      <c r="F15" s="154"/>
      <c r="G15" s="54" t="s">
        <v>170</v>
      </c>
      <c r="H15" s="152"/>
      <c r="Q15" s="141"/>
      <c r="R15" s="141"/>
      <c r="S15" s="141"/>
      <c r="T15" s="141"/>
    </row>
    <row r="16" spans="1:20" ht="31.2" x14ac:dyDescent="0.3">
      <c r="A16">
        <v>4740924</v>
      </c>
      <c r="B16">
        <v>379553</v>
      </c>
      <c r="F16" s="154"/>
      <c r="G16" s="60" t="s">
        <v>174</v>
      </c>
      <c r="H16" s="68" t="s">
        <v>195</v>
      </c>
    </row>
    <row r="17" spans="1:8" ht="15.6" x14ac:dyDescent="0.3">
      <c r="A17">
        <v>6733056</v>
      </c>
      <c r="B17">
        <v>580130</v>
      </c>
      <c r="F17" s="154"/>
      <c r="G17" s="54" t="s">
        <v>170</v>
      </c>
      <c r="H17" s="47" t="s">
        <v>170</v>
      </c>
    </row>
    <row r="18" spans="1:8" ht="15.6" x14ac:dyDescent="0.3">
      <c r="A18">
        <v>7621339</v>
      </c>
      <c r="B18">
        <v>653801</v>
      </c>
      <c r="F18" s="154"/>
      <c r="G18" s="56" t="s">
        <v>176</v>
      </c>
      <c r="H18" s="48" t="s">
        <v>196</v>
      </c>
    </row>
    <row r="19" spans="1:8" ht="15.6" x14ac:dyDescent="0.3">
      <c r="A19">
        <v>5867199</v>
      </c>
      <c r="B19">
        <v>452194</v>
      </c>
      <c r="F19" s="51" t="s">
        <v>170</v>
      </c>
      <c r="G19" s="53"/>
      <c r="H19" s="47" t="s">
        <v>170</v>
      </c>
    </row>
    <row r="20" spans="1:8" ht="15.6" x14ac:dyDescent="0.3">
      <c r="A20">
        <v>5534979</v>
      </c>
      <c r="B20">
        <v>419334</v>
      </c>
      <c r="F20" s="148" t="s">
        <v>178</v>
      </c>
      <c r="G20" s="61" t="s">
        <v>197</v>
      </c>
      <c r="H20" s="69">
        <f>((H8^2/H4+H9^2/H5)^2)/((H8^2/H4)^2/(H4-1)+(H9^2/H5)^2/(H5-1))</f>
        <v>53.942545952577028</v>
      </c>
    </row>
    <row r="21" spans="1:8" ht="15.6" x14ac:dyDescent="0.3">
      <c r="A21">
        <v>7415559</v>
      </c>
      <c r="B21">
        <v>625599</v>
      </c>
      <c r="F21" s="148"/>
      <c r="G21" s="55" t="s">
        <v>139</v>
      </c>
      <c r="H21" s="47">
        <f>SQRT((H8^2/H4)+(H9^2/H5))</f>
        <v>347955.82921409718</v>
      </c>
    </row>
    <row r="22" spans="1:8" ht="15.6" x14ac:dyDescent="0.3">
      <c r="A22">
        <v>8361602</v>
      </c>
      <c r="B22">
        <v>706690</v>
      </c>
      <c r="F22" s="148"/>
      <c r="G22" s="71" t="s">
        <v>170</v>
      </c>
      <c r="H22" s="47" t="s">
        <v>170</v>
      </c>
    </row>
    <row r="23" spans="1:8" ht="15.6" x14ac:dyDescent="0.3">
      <c r="A23">
        <v>6466748</v>
      </c>
      <c r="B23">
        <v>474610</v>
      </c>
      <c r="F23" s="148"/>
      <c r="G23" s="62" t="s">
        <v>179</v>
      </c>
      <c r="H23" s="47">
        <f>(H6-H7)/H21</f>
        <v>16.310634764369425</v>
      </c>
    </row>
    <row r="24" spans="1:8" ht="15.6" x14ac:dyDescent="0.3">
      <c r="A24">
        <v>5795278</v>
      </c>
      <c r="B24">
        <v>418458</v>
      </c>
      <c r="F24" s="148"/>
      <c r="G24" s="62" t="s">
        <v>180</v>
      </c>
      <c r="H24" s="47">
        <f>_xlfn.T.INV.2T(0.05,H20)</f>
        <v>2.0057459953178696</v>
      </c>
    </row>
    <row r="25" spans="1:8" ht="15.6" x14ac:dyDescent="0.3">
      <c r="A25">
        <v>7960058</v>
      </c>
      <c r="B25">
        <v>637491</v>
      </c>
      <c r="F25" s="148"/>
      <c r="G25" s="54" t="s">
        <v>170</v>
      </c>
      <c r="H25" s="47" t="s">
        <v>170</v>
      </c>
    </row>
    <row r="26" spans="1:8" ht="15.6" x14ac:dyDescent="0.3">
      <c r="A26">
        <v>8893941</v>
      </c>
      <c r="B26">
        <v>752138</v>
      </c>
      <c r="F26" s="148"/>
      <c r="G26" s="63" t="s">
        <v>182</v>
      </c>
      <c r="H26" s="47">
        <f>_xlfn.T.DIST.2T(ABS(H23),H20)</f>
        <v>2.6132031624671519E-22</v>
      </c>
    </row>
    <row r="27" spans="1:8" ht="15.6" x14ac:dyDescent="0.3">
      <c r="A27">
        <v>6805197</v>
      </c>
      <c r="B27">
        <v>493363</v>
      </c>
      <c r="F27" s="148"/>
      <c r="G27" s="58" t="s">
        <v>167</v>
      </c>
      <c r="H27" s="48" t="s">
        <v>170</v>
      </c>
    </row>
    <row r="28" spans="1:8" ht="16.2" thickBot="1" x14ac:dyDescent="0.35">
      <c r="A28">
        <v>6037482</v>
      </c>
      <c r="B28">
        <v>428618</v>
      </c>
      <c r="F28" s="51" t="s">
        <v>170</v>
      </c>
      <c r="G28" s="53"/>
      <c r="H28" s="47" t="s">
        <v>170</v>
      </c>
    </row>
    <row r="29" spans="1:8" ht="46.8" x14ac:dyDescent="0.3">
      <c r="A29">
        <v>8558244</v>
      </c>
      <c r="B29">
        <v>665643</v>
      </c>
      <c r="F29" s="149" t="s">
        <v>183</v>
      </c>
      <c r="G29" s="64" t="s">
        <v>184</v>
      </c>
      <c r="H29" s="69" t="s">
        <v>198</v>
      </c>
    </row>
    <row r="30" spans="1:8" ht="15.6" x14ac:dyDescent="0.3">
      <c r="A30">
        <v>9430981</v>
      </c>
      <c r="B30">
        <v>773012</v>
      </c>
      <c r="F30" s="149"/>
      <c r="G30" s="65" t="s">
        <v>170</v>
      </c>
      <c r="H30" s="47" t="s">
        <v>170</v>
      </c>
    </row>
    <row r="31" spans="1:8" ht="140.4" x14ac:dyDescent="0.3">
      <c r="A31">
        <v>7292712</v>
      </c>
      <c r="B31">
        <v>520533</v>
      </c>
      <c r="F31" s="150"/>
      <c r="G31" s="66" t="s">
        <v>186</v>
      </c>
      <c r="H31" s="52" t="s">
        <v>199</v>
      </c>
    </row>
    <row r="32" spans="1:8" x14ac:dyDescent="0.3">
      <c r="A32">
        <v>6480314</v>
      </c>
      <c r="B32">
        <v>474297</v>
      </c>
    </row>
    <row r="33" spans="1:2" x14ac:dyDescent="0.3">
      <c r="A33">
        <v>8957586</v>
      </c>
      <c r="B33">
        <v>728548</v>
      </c>
    </row>
    <row r="34" spans="1:2" x14ac:dyDescent="0.3">
      <c r="A34">
        <v>9852369</v>
      </c>
      <c r="B34">
        <v>832198</v>
      </c>
    </row>
    <row r="35" spans="1:2" x14ac:dyDescent="0.3">
      <c r="A35">
        <v>7385982</v>
      </c>
      <c r="B35">
        <v>550423</v>
      </c>
    </row>
    <row r="36" spans="1:2" x14ac:dyDescent="0.3">
      <c r="A36">
        <v>5139128</v>
      </c>
      <c r="B36">
        <v>397387</v>
      </c>
    </row>
    <row r="37" spans="1:2" x14ac:dyDescent="0.3">
      <c r="A37">
        <v>155592</v>
      </c>
      <c r="B37">
        <v>7879</v>
      </c>
    </row>
    <row r="38" spans="1:2" x14ac:dyDescent="0.3">
      <c r="A38">
        <v>1270411</v>
      </c>
      <c r="B38">
        <v>90287</v>
      </c>
    </row>
    <row r="39" spans="1:2" x14ac:dyDescent="0.3">
      <c r="A39">
        <v>702109</v>
      </c>
      <c r="B39">
        <v>31461</v>
      </c>
    </row>
    <row r="40" spans="1:2" x14ac:dyDescent="0.3">
      <c r="A40">
        <v>405112</v>
      </c>
      <c r="B40">
        <v>8926</v>
      </c>
    </row>
    <row r="41" spans="1:2" x14ac:dyDescent="0.3">
      <c r="A41">
        <v>554749</v>
      </c>
      <c r="B41">
        <v>24931</v>
      </c>
    </row>
    <row r="42" spans="1:2" x14ac:dyDescent="0.3">
      <c r="A42">
        <v>3202834</v>
      </c>
      <c r="B42">
        <v>133809</v>
      </c>
    </row>
    <row r="43" spans="1:2" x14ac:dyDescent="0.3">
      <c r="A43">
        <v>4103576</v>
      </c>
      <c r="B43">
        <v>87349</v>
      </c>
    </row>
    <row r="44" spans="1:2" x14ac:dyDescent="0.3">
      <c r="A44">
        <v>4099571</v>
      </c>
      <c r="B44">
        <v>288323</v>
      </c>
    </row>
    <row r="45" spans="1:2" x14ac:dyDescent="0.3">
      <c r="A45">
        <v>7779695</v>
      </c>
      <c r="B45">
        <v>645215</v>
      </c>
    </row>
    <row r="46" spans="1:2" x14ac:dyDescent="0.3">
      <c r="A46">
        <v>8840733</v>
      </c>
      <c r="B46">
        <v>767806</v>
      </c>
    </row>
    <row r="47" spans="1:2" x14ac:dyDescent="0.3">
      <c r="A47">
        <v>7073346</v>
      </c>
      <c r="B47">
        <v>537111</v>
      </c>
    </row>
    <row r="48" spans="1:2" x14ac:dyDescent="0.3">
      <c r="A48">
        <v>6589966</v>
      </c>
      <c r="B48">
        <v>499021</v>
      </c>
    </row>
    <row r="49" spans="1:2" x14ac:dyDescent="0.3">
      <c r="A49">
        <v>9058940</v>
      </c>
      <c r="B49">
        <v>791720</v>
      </c>
    </row>
    <row r="50" spans="1:2" x14ac:dyDescent="0.3">
      <c r="A50">
        <v>9929211</v>
      </c>
      <c r="B50">
        <v>866942</v>
      </c>
    </row>
    <row r="51" spans="1:2" x14ac:dyDescent="0.3">
      <c r="A51">
        <v>7684824</v>
      </c>
      <c r="B51">
        <v>640341</v>
      </c>
    </row>
    <row r="52" spans="1:2" x14ac:dyDescent="0.3">
      <c r="A52">
        <v>7025552</v>
      </c>
      <c r="B52">
        <v>601989</v>
      </c>
    </row>
    <row r="53" spans="1:2" x14ac:dyDescent="0.3">
      <c r="A53">
        <v>9479228</v>
      </c>
      <c r="B53">
        <v>832446</v>
      </c>
    </row>
    <row r="54" spans="1:2" x14ac:dyDescent="0.3">
      <c r="A54">
        <v>10369522</v>
      </c>
      <c r="B54">
        <v>963202</v>
      </c>
    </row>
    <row r="55" spans="1:2" x14ac:dyDescent="0.3">
      <c r="A55">
        <v>7748958</v>
      </c>
      <c r="B55">
        <v>670812</v>
      </c>
    </row>
    <row r="56" spans="1:2" x14ac:dyDescent="0.3">
      <c r="A56">
        <v>6933757</v>
      </c>
      <c r="B56">
        <v>648356</v>
      </c>
    </row>
    <row r="57" spans="1:2" x14ac:dyDescent="0.3">
      <c r="A57">
        <v>10017651</v>
      </c>
      <c r="B57">
        <v>993437</v>
      </c>
    </row>
  </sheetData>
  <mergeCells count="9">
    <mergeCell ref="F20:F27"/>
    <mergeCell ref="F29:F31"/>
    <mergeCell ref="H14:H15"/>
    <mergeCell ref="Q4:T8"/>
    <mergeCell ref="Q11:T15"/>
    <mergeCell ref="F3:F9"/>
    <mergeCell ref="G3:H3"/>
    <mergeCell ref="F11:F12"/>
    <mergeCell ref="F14:F18"/>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2602F-B7D9-4D61-B9EC-94418DFCD0D9}">
  <dimension ref="A1:J84"/>
  <sheetViews>
    <sheetView showGridLines="0" showRowColHeaders="0" zoomScale="80" zoomScaleNormal="80" workbookViewId="0">
      <selection activeCell="H21" sqref="H21"/>
    </sheetView>
  </sheetViews>
  <sheetFormatPr defaultRowHeight="14.4" x14ac:dyDescent="0.3"/>
  <cols>
    <col min="1" max="1" width="21.5546875" style="8" bestFit="1" customWidth="1"/>
    <col min="2" max="2" width="23.6640625" style="8" customWidth="1"/>
    <col min="3" max="3" width="9.88671875" style="8" bestFit="1" customWidth="1"/>
    <col min="4" max="4" width="10" style="8" bestFit="1" customWidth="1"/>
    <col min="5" max="5" width="16.109375" style="8" customWidth="1"/>
    <col min="6" max="6" width="14.5546875" style="8" customWidth="1"/>
    <col min="7" max="7" width="15.109375" style="8" customWidth="1"/>
    <col min="8" max="8" width="18.33203125" style="8" customWidth="1"/>
    <col min="9" max="9" width="14.88671875" style="8" customWidth="1"/>
    <col min="10" max="10" width="21.6640625" style="8" customWidth="1"/>
    <col min="11" max="11" width="11.33203125" bestFit="1" customWidth="1"/>
    <col min="12" max="12" width="11.5546875" customWidth="1"/>
  </cols>
  <sheetData>
    <row r="1" spans="1:10" ht="15.6" x14ac:dyDescent="0.3">
      <c r="A1" s="98" t="s">
        <v>200</v>
      </c>
      <c r="B1" s="98" t="s">
        <v>4</v>
      </c>
      <c r="C1" s="98" t="s">
        <v>201</v>
      </c>
      <c r="D1" s="98" t="s">
        <v>202</v>
      </c>
      <c r="E1" s="98" t="s">
        <v>203</v>
      </c>
      <c r="F1" s="98" t="s">
        <v>204</v>
      </c>
      <c r="G1" s="98" t="s">
        <v>205</v>
      </c>
      <c r="H1" s="98" t="s">
        <v>206</v>
      </c>
      <c r="I1" s="98" t="s">
        <v>207</v>
      </c>
      <c r="J1" s="98" t="s">
        <v>208</v>
      </c>
    </row>
    <row r="2" spans="1:10" x14ac:dyDescent="0.3">
      <c r="A2" s="81">
        <v>1</v>
      </c>
      <c r="B2" s="81">
        <v>3740432</v>
      </c>
      <c r="C2" s="81">
        <f>A2-$B$57</f>
        <v>-26.5</v>
      </c>
      <c r="D2" s="133">
        <f>B2-$B$58</f>
        <v>-2468646.944444444</v>
      </c>
      <c r="E2" s="81">
        <f>C2*D2</f>
        <v>65419144.027777769</v>
      </c>
      <c r="F2" s="81">
        <f>C2^2</f>
        <v>702.25</v>
      </c>
      <c r="G2" s="81">
        <f>D2^2</f>
        <v>6094217736314.8896</v>
      </c>
      <c r="H2" s="81">
        <f>$B$61+$B$60*A2</f>
        <v>5140229.3939393936</v>
      </c>
      <c r="I2" s="81">
        <f>(B2-H2)^2</f>
        <v>1959432744079.5178</v>
      </c>
      <c r="J2" s="81">
        <f>(H2-$B$58)^2</f>
        <v>1142439361614.8484</v>
      </c>
    </row>
    <row r="3" spans="1:10" x14ac:dyDescent="0.3">
      <c r="A3" s="81">
        <v>2</v>
      </c>
      <c r="B3" s="81">
        <v>5180478</v>
      </c>
      <c r="C3" s="81">
        <f t="shared" ref="C3:C55" si="0">A3-$B$57</f>
        <v>-25.5</v>
      </c>
      <c r="D3" s="133">
        <f t="shared" ref="D3:D55" si="1">B3-$B$58</f>
        <v>-1028600.944444444</v>
      </c>
      <c r="E3" s="81">
        <f t="shared" ref="E3:E55" si="2">C3*D3</f>
        <v>26229324.083333321</v>
      </c>
      <c r="F3" s="81">
        <f t="shared" ref="F3:F55" si="3">C3^2</f>
        <v>650.25</v>
      </c>
      <c r="G3" s="81">
        <f t="shared" ref="G3:G55" si="4">D3^2</f>
        <v>1058019902912.0022</v>
      </c>
      <c r="H3" s="81">
        <f t="shared" ref="H3:H55" si="5">$B$61+$B$60*A3</f>
        <v>5180563.3392414711</v>
      </c>
      <c r="I3" s="81">
        <f t="shared" ref="I3:I55" si="6">(B3-H3)^2</f>
        <v>7282.7861348698107</v>
      </c>
      <c r="J3" s="81">
        <f t="shared" ref="J3:J55" si="7">(H3-$B$58)^2</f>
        <v>1057844350146.0376</v>
      </c>
    </row>
    <row r="4" spans="1:10" x14ac:dyDescent="0.3">
      <c r="A4" s="81">
        <v>3</v>
      </c>
      <c r="B4" s="81">
        <v>5851043</v>
      </c>
      <c r="C4" s="81">
        <f t="shared" si="0"/>
        <v>-24.5</v>
      </c>
      <c r="D4" s="133">
        <f t="shared" si="1"/>
        <v>-358035.94444444403</v>
      </c>
      <c r="E4" s="81">
        <f t="shared" si="2"/>
        <v>8771880.6388888787</v>
      </c>
      <c r="F4" s="81">
        <f t="shared" si="3"/>
        <v>600.25</v>
      </c>
      <c r="G4" s="81">
        <f t="shared" si="4"/>
        <v>128189737514.22501</v>
      </c>
      <c r="H4" s="81">
        <f t="shared" si="5"/>
        <v>5220897.2845435478</v>
      </c>
      <c r="I4" s="81">
        <f t="shared" si="6"/>
        <v>397083622708.12402</v>
      </c>
      <c r="J4" s="81">
        <f t="shared" si="7"/>
        <v>976502992964.4906</v>
      </c>
    </row>
    <row r="5" spans="1:10" x14ac:dyDescent="0.3">
      <c r="A5" s="81">
        <v>4</v>
      </c>
      <c r="B5" s="81">
        <v>4318828</v>
      </c>
      <c r="C5" s="81">
        <f t="shared" si="0"/>
        <v>-23.5</v>
      </c>
      <c r="D5" s="133">
        <f t="shared" si="1"/>
        <v>-1890250.944444444</v>
      </c>
      <c r="E5" s="81">
        <f t="shared" si="2"/>
        <v>44420897.194444433</v>
      </c>
      <c r="F5" s="81">
        <f t="shared" si="3"/>
        <v>552.25</v>
      </c>
      <c r="G5" s="81">
        <f t="shared" si="4"/>
        <v>3573048632973.1128</v>
      </c>
      <c r="H5" s="81">
        <f t="shared" si="5"/>
        <v>5261231.2298456253</v>
      </c>
      <c r="I5" s="81">
        <f t="shared" si="6"/>
        <v>888123847623.46655</v>
      </c>
      <c r="J5" s="81">
        <f t="shared" si="7"/>
        <v>898415290070.20361</v>
      </c>
    </row>
    <row r="6" spans="1:10" x14ac:dyDescent="0.3">
      <c r="A6" s="81">
        <v>5</v>
      </c>
      <c r="B6" s="81">
        <v>3874988</v>
      </c>
      <c r="C6" s="81">
        <f t="shared" si="0"/>
        <v>-22.5</v>
      </c>
      <c r="D6" s="133">
        <f t="shared" si="1"/>
        <v>-2334090.944444444</v>
      </c>
      <c r="E6" s="81">
        <f t="shared" si="2"/>
        <v>52517046.249999993</v>
      </c>
      <c r="F6" s="81">
        <f t="shared" si="3"/>
        <v>506.25</v>
      </c>
      <c r="G6" s="81">
        <f t="shared" si="4"/>
        <v>5447980536937.5566</v>
      </c>
      <c r="H6" s="81">
        <f t="shared" si="5"/>
        <v>5301565.1751477029</v>
      </c>
      <c r="I6" s="81">
        <f t="shared" si="6"/>
        <v>2035122436652.3999</v>
      </c>
      <c r="J6" s="81">
        <f t="shared" si="7"/>
        <v>823581241463.17871</v>
      </c>
    </row>
    <row r="7" spans="1:10" x14ac:dyDescent="0.3">
      <c r="A7" s="81">
        <v>6</v>
      </c>
      <c r="B7" s="81">
        <v>5460037</v>
      </c>
      <c r="C7" s="81">
        <f t="shared" si="0"/>
        <v>-21.5</v>
      </c>
      <c r="D7" s="133">
        <f t="shared" si="1"/>
        <v>-749041.94444444403</v>
      </c>
      <c r="E7" s="81">
        <f t="shared" si="2"/>
        <v>16104401.805555547</v>
      </c>
      <c r="F7" s="81">
        <f t="shared" si="3"/>
        <v>462.25</v>
      </c>
      <c r="G7" s="81">
        <f t="shared" si="4"/>
        <v>561063834537.11353</v>
      </c>
      <c r="H7" s="81">
        <f t="shared" si="5"/>
        <v>5341899.1204497805</v>
      </c>
      <c r="I7" s="81">
        <f t="shared" si="6"/>
        <v>13956558584.622173</v>
      </c>
      <c r="J7" s="81">
        <f t="shared" si="7"/>
        <v>752000847143.41565</v>
      </c>
    </row>
    <row r="8" spans="1:10" x14ac:dyDescent="0.3">
      <c r="A8" s="81">
        <v>7</v>
      </c>
      <c r="B8" s="81">
        <v>6211891</v>
      </c>
      <c r="C8" s="81">
        <f t="shared" si="0"/>
        <v>-20.5</v>
      </c>
      <c r="D8" s="133">
        <f t="shared" si="1"/>
        <v>2812.0555555559695</v>
      </c>
      <c r="E8" s="81">
        <f t="shared" si="2"/>
        <v>-57647.138888897374</v>
      </c>
      <c r="F8" s="81">
        <f t="shared" si="3"/>
        <v>420.25</v>
      </c>
      <c r="G8" s="81">
        <f t="shared" si="4"/>
        <v>7907656.4475331921</v>
      </c>
      <c r="H8" s="81">
        <f t="shared" si="5"/>
        <v>5382233.0657518581</v>
      </c>
      <c r="I8" s="81">
        <f t="shared" si="6"/>
        <v>688332287860.89417</v>
      </c>
      <c r="J8" s="81">
        <f t="shared" si="7"/>
        <v>683674107110.91455</v>
      </c>
    </row>
    <row r="9" spans="1:10" x14ac:dyDescent="0.3">
      <c r="A9" s="81">
        <v>8</v>
      </c>
      <c r="B9" s="81">
        <v>4601658</v>
      </c>
      <c r="C9" s="81">
        <f t="shared" si="0"/>
        <v>-19.5</v>
      </c>
      <c r="D9" s="133">
        <f t="shared" si="1"/>
        <v>-1607420.944444444</v>
      </c>
      <c r="E9" s="81">
        <f t="shared" si="2"/>
        <v>31344708.416666657</v>
      </c>
      <c r="F9" s="81">
        <f t="shared" si="3"/>
        <v>380.25</v>
      </c>
      <c r="G9" s="81">
        <f t="shared" si="4"/>
        <v>2583802092638.6685</v>
      </c>
      <c r="H9" s="81">
        <f t="shared" si="5"/>
        <v>5422567.0110539347</v>
      </c>
      <c r="I9" s="81">
        <f t="shared" si="6"/>
        <v>673891604429.54907</v>
      </c>
      <c r="J9" s="81">
        <f t="shared" si="7"/>
        <v>618601021365.677</v>
      </c>
    </row>
    <row r="10" spans="1:10" x14ac:dyDescent="0.3">
      <c r="A10" s="81">
        <v>9</v>
      </c>
      <c r="B10" s="81">
        <v>4062698</v>
      </c>
      <c r="C10" s="81">
        <f t="shared" si="0"/>
        <v>-18.5</v>
      </c>
      <c r="D10" s="133">
        <f t="shared" si="1"/>
        <v>-2146380.944444444</v>
      </c>
      <c r="E10" s="81">
        <f t="shared" si="2"/>
        <v>39708047.472222216</v>
      </c>
      <c r="F10" s="81">
        <f t="shared" si="3"/>
        <v>342.25</v>
      </c>
      <c r="G10" s="81">
        <f t="shared" si="4"/>
        <v>4606951158674.2236</v>
      </c>
      <c r="H10" s="81">
        <f t="shared" si="5"/>
        <v>5462900.9563560123</v>
      </c>
      <c r="I10" s="81">
        <f t="shared" si="6"/>
        <v>1960568318988.1167</v>
      </c>
      <c r="J10" s="81">
        <f t="shared" si="7"/>
        <v>556781589907.69983</v>
      </c>
    </row>
    <row r="11" spans="1:10" x14ac:dyDescent="0.3">
      <c r="A11" s="81">
        <v>10</v>
      </c>
      <c r="B11" s="81">
        <v>5914826</v>
      </c>
      <c r="C11" s="81">
        <f t="shared" si="0"/>
        <v>-17.5</v>
      </c>
      <c r="D11" s="133">
        <f t="shared" si="1"/>
        <v>-294252.94444444403</v>
      </c>
      <c r="E11" s="81">
        <f t="shared" si="2"/>
        <v>5149426.5277777705</v>
      </c>
      <c r="F11" s="81">
        <f t="shared" si="3"/>
        <v>306.25</v>
      </c>
      <c r="G11" s="81">
        <f t="shared" si="4"/>
        <v>86584795314.225067</v>
      </c>
      <c r="H11" s="81">
        <f t="shared" si="5"/>
        <v>5503234.9016580898</v>
      </c>
      <c r="I11" s="81">
        <f t="shared" si="6"/>
        <v>169407232234.29996</v>
      </c>
      <c r="J11" s="81">
        <f t="shared" si="7"/>
        <v>498215812736.98462</v>
      </c>
    </row>
    <row r="12" spans="1:10" x14ac:dyDescent="0.3">
      <c r="A12" s="81">
        <v>11</v>
      </c>
      <c r="B12" s="81">
        <v>6617238</v>
      </c>
      <c r="C12" s="81">
        <f t="shared" si="0"/>
        <v>-16.5</v>
      </c>
      <c r="D12" s="133">
        <f t="shared" si="1"/>
        <v>408159.05555555597</v>
      </c>
      <c r="E12" s="81">
        <f t="shared" si="2"/>
        <v>-6734624.4166666735</v>
      </c>
      <c r="F12" s="81">
        <f t="shared" si="3"/>
        <v>272.25</v>
      </c>
      <c r="G12" s="81">
        <f t="shared" si="4"/>
        <v>166593814632.00342</v>
      </c>
      <c r="H12" s="81">
        <f t="shared" si="5"/>
        <v>5543568.8469601674</v>
      </c>
      <c r="I12" s="81">
        <f t="shared" si="6"/>
        <v>1152765450189.2715</v>
      </c>
      <c r="J12" s="81">
        <f t="shared" si="7"/>
        <v>442903689853.53137</v>
      </c>
    </row>
    <row r="13" spans="1:10" x14ac:dyDescent="0.3">
      <c r="A13" s="81">
        <v>12</v>
      </c>
      <c r="B13" s="81">
        <v>5100131</v>
      </c>
      <c r="C13" s="81">
        <f t="shared" si="0"/>
        <v>-15.5</v>
      </c>
      <c r="D13" s="133">
        <f t="shared" si="1"/>
        <v>-1108947.944444444</v>
      </c>
      <c r="E13" s="81">
        <f t="shared" si="2"/>
        <v>17188693.138888881</v>
      </c>
      <c r="F13" s="81">
        <f t="shared" si="3"/>
        <v>240.25</v>
      </c>
      <c r="G13" s="81">
        <f t="shared" si="4"/>
        <v>1229765543487.5576</v>
      </c>
      <c r="H13" s="81">
        <f t="shared" si="5"/>
        <v>5583902.792262245</v>
      </c>
      <c r="I13" s="81">
        <f t="shared" si="6"/>
        <v>234035146988.62469</v>
      </c>
      <c r="J13" s="81">
        <f t="shared" si="7"/>
        <v>390845221257.34015</v>
      </c>
    </row>
    <row r="14" spans="1:10" x14ac:dyDescent="0.3">
      <c r="A14" s="81">
        <v>13</v>
      </c>
      <c r="B14" s="81">
        <v>4740924</v>
      </c>
      <c r="C14" s="81">
        <f t="shared" si="0"/>
        <v>-14.5</v>
      </c>
      <c r="D14" s="133">
        <f t="shared" si="1"/>
        <v>-1468154.944444444</v>
      </c>
      <c r="E14" s="81">
        <f t="shared" si="2"/>
        <v>21288246.69444444</v>
      </c>
      <c r="F14" s="81">
        <f t="shared" si="3"/>
        <v>210.25</v>
      </c>
      <c r="G14" s="81">
        <f t="shared" si="4"/>
        <v>2155478940896.6685</v>
      </c>
      <c r="H14" s="81">
        <f t="shared" si="5"/>
        <v>5624236.7375643216</v>
      </c>
      <c r="I14" s="81">
        <f t="shared" si="6"/>
        <v>780241392343.3761</v>
      </c>
      <c r="J14" s="81">
        <f t="shared" si="7"/>
        <v>342040406948.41193</v>
      </c>
    </row>
    <row r="15" spans="1:10" x14ac:dyDescent="0.3">
      <c r="A15" s="81">
        <v>14</v>
      </c>
      <c r="B15" s="81">
        <v>6733056</v>
      </c>
      <c r="C15" s="81">
        <f t="shared" si="0"/>
        <v>-13.5</v>
      </c>
      <c r="D15" s="133">
        <f t="shared" si="1"/>
        <v>523977.05555555597</v>
      </c>
      <c r="E15" s="81">
        <f t="shared" si="2"/>
        <v>-7073690.2500000056</v>
      </c>
      <c r="F15" s="81">
        <f t="shared" si="3"/>
        <v>182.25</v>
      </c>
      <c r="G15" s="81">
        <f t="shared" si="4"/>
        <v>274551954748.6702</v>
      </c>
      <c r="H15" s="81">
        <f t="shared" si="5"/>
        <v>5664570.6828663992</v>
      </c>
      <c r="I15" s="81">
        <f t="shared" si="6"/>
        <v>1141660872930.0916</v>
      </c>
      <c r="J15" s="81">
        <f t="shared" si="7"/>
        <v>296489246926.74451</v>
      </c>
    </row>
    <row r="16" spans="1:10" x14ac:dyDescent="0.3">
      <c r="A16" s="81">
        <v>15</v>
      </c>
      <c r="B16" s="81">
        <v>7621339</v>
      </c>
      <c r="C16" s="81">
        <f t="shared" si="0"/>
        <v>-12.5</v>
      </c>
      <c r="D16" s="133">
        <f t="shared" si="1"/>
        <v>1412260.055555556</v>
      </c>
      <c r="E16" s="81">
        <f t="shared" si="2"/>
        <v>-17653250.694444448</v>
      </c>
      <c r="F16" s="81">
        <f t="shared" si="3"/>
        <v>156.25</v>
      </c>
      <c r="G16" s="81">
        <f t="shared" si="4"/>
        <v>1994478464517.782</v>
      </c>
      <c r="H16" s="81">
        <f t="shared" si="5"/>
        <v>5704904.6281684767</v>
      </c>
      <c r="I16" s="81">
        <f t="shared" si="6"/>
        <v>3672720701537.2852</v>
      </c>
      <c r="J16" s="81">
        <f t="shared" si="7"/>
        <v>254191741192.33908</v>
      </c>
    </row>
    <row r="17" spans="1:10" x14ac:dyDescent="0.3">
      <c r="A17" s="81">
        <v>16</v>
      </c>
      <c r="B17" s="81">
        <v>5867199</v>
      </c>
      <c r="C17" s="81">
        <f t="shared" si="0"/>
        <v>-11.5</v>
      </c>
      <c r="D17" s="133">
        <f t="shared" si="1"/>
        <v>-341879.94444444403</v>
      </c>
      <c r="E17" s="81">
        <f t="shared" si="2"/>
        <v>3931619.3611111064</v>
      </c>
      <c r="F17" s="81">
        <f t="shared" si="3"/>
        <v>132.25</v>
      </c>
      <c r="G17" s="81">
        <f t="shared" si="4"/>
        <v>116881896413.33614</v>
      </c>
      <c r="H17" s="81">
        <f t="shared" si="5"/>
        <v>5745238.5734705543</v>
      </c>
      <c r="I17" s="81">
        <f t="shared" si="6"/>
        <v>14874345639.24432</v>
      </c>
      <c r="J17" s="81">
        <f t="shared" si="7"/>
        <v>215147889745.19565</v>
      </c>
    </row>
    <row r="18" spans="1:10" x14ac:dyDescent="0.3">
      <c r="A18" s="81">
        <v>17</v>
      </c>
      <c r="B18" s="81">
        <v>5534979</v>
      </c>
      <c r="C18" s="81">
        <f t="shared" si="0"/>
        <v>-10.5</v>
      </c>
      <c r="D18" s="133">
        <f t="shared" si="1"/>
        <v>-674099.94444444403</v>
      </c>
      <c r="E18" s="81">
        <f t="shared" si="2"/>
        <v>7078049.4166666623</v>
      </c>
      <c r="F18" s="81">
        <f t="shared" si="3"/>
        <v>110.25</v>
      </c>
      <c r="G18" s="81">
        <f t="shared" si="4"/>
        <v>454410735100.0025</v>
      </c>
      <c r="H18" s="81">
        <f t="shared" si="5"/>
        <v>5785572.5187726319</v>
      </c>
      <c r="I18" s="81">
        <f t="shared" si="6"/>
        <v>62797111650.849411</v>
      </c>
      <c r="J18" s="81">
        <f t="shared" si="7"/>
        <v>179357692585.31415</v>
      </c>
    </row>
    <row r="19" spans="1:10" x14ac:dyDescent="0.3">
      <c r="A19" s="81">
        <v>18</v>
      </c>
      <c r="B19" s="81">
        <v>7415559</v>
      </c>
      <c r="C19" s="81">
        <f t="shared" si="0"/>
        <v>-9.5</v>
      </c>
      <c r="D19" s="133">
        <f t="shared" si="1"/>
        <v>1206480.055555556</v>
      </c>
      <c r="E19" s="81">
        <f t="shared" si="2"/>
        <v>-11461560.527777782</v>
      </c>
      <c r="F19" s="81">
        <f t="shared" si="3"/>
        <v>90.25</v>
      </c>
      <c r="G19" s="81">
        <f t="shared" si="4"/>
        <v>1455594124453.3374</v>
      </c>
      <c r="H19" s="81">
        <f t="shared" si="5"/>
        <v>5825906.4640747085</v>
      </c>
      <c r="I19" s="81">
        <f t="shared" si="6"/>
        <v>2526995184973.71</v>
      </c>
      <c r="J19" s="81">
        <f t="shared" si="7"/>
        <v>146821149712.69534</v>
      </c>
    </row>
    <row r="20" spans="1:10" x14ac:dyDescent="0.3">
      <c r="A20" s="81">
        <v>19</v>
      </c>
      <c r="B20" s="81">
        <v>8361602</v>
      </c>
      <c r="C20" s="81">
        <f t="shared" si="0"/>
        <v>-8.5</v>
      </c>
      <c r="D20" s="133">
        <f t="shared" si="1"/>
        <v>2152523.055555556</v>
      </c>
      <c r="E20" s="81">
        <f t="shared" si="2"/>
        <v>-18296445.972222224</v>
      </c>
      <c r="F20" s="81">
        <f t="shared" si="3"/>
        <v>72.25</v>
      </c>
      <c r="G20" s="81">
        <f t="shared" si="4"/>
        <v>4633355504698.2275</v>
      </c>
      <c r="H20" s="81">
        <f t="shared" si="5"/>
        <v>5866240.4093767861</v>
      </c>
      <c r="I20" s="81">
        <f t="shared" si="6"/>
        <v>6226829467957.6162</v>
      </c>
      <c r="J20" s="81">
        <f t="shared" si="7"/>
        <v>117538261127.33772</v>
      </c>
    </row>
    <row r="21" spans="1:10" x14ac:dyDescent="0.3">
      <c r="A21" s="81">
        <v>20</v>
      </c>
      <c r="B21" s="81">
        <v>6466748</v>
      </c>
      <c r="C21" s="81">
        <f t="shared" si="0"/>
        <v>-7.5</v>
      </c>
      <c r="D21" s="133">
        <f t="shared" si="1"/>
        <v>257669.05555555597</v>
      </c>
      <c r="E21" s="81">
        <f t="shared" si="2"/>
        <v>-1932517.9166666698</v>
      </c>
      <c r="F21" s="81">
        <f t="shared" si="3"/>
        <v>56.25</v>
      </c>
      <c r="G21" s="81">
        <f t="shared" si="4"/>
        <v>66393342190.892189</v>
      </c>
      <c r="H21" s="81">
        <f t="shared" si="5"/>
        <v>5906574.3546788637</v>
      </c>
      <c r="I21" s="81">
        <f t="shared" si="6"/>
        <v>313794512912.37024</v>
      </c>
      <c r="J21" s="81">
        <f t="shared" si="7"/>
        <v>91509026829.242065</v>
      </c>
    </row>
    <row r="22" spans="1:10" x14ac:dyDescent="0.3">
      <c r="A22" s="81">
        <v>21</v>
      </c>
      <c r="B22" s="81">
        <v>5795278</v>
      </c>
      <c r="C22" s="81">
        <f t="shared" si="0"/>
        <v>-6.5</v>
      </c>
      <c r="D22" s="133">
        <f t="shared" si="1"/>
        <v>-413800.94444444403</v>
      </c>
      <c r="E22" s="81">
        <f t="shared" si="2"/>
        <v>2689706.1388888862</v>
      </c>
      <c r="F22" s="81">
        <f t="shared" si="3"/>
        <v>42.25</v>
      </c>
      <c r="G22" s="81">
        <f t="shared" si="4"/>
        <v>171231221623.11386</v>
      </c>
      <c r="H22" s="81">
        <f t="shared" si="5"/>
        <v>5946908.2999809412</v>
      </c>
      <c r="I22" s="81">
        <f t="shared" si="6"/>
        <v>22991747872.310226</v>
      </c>
      <c r="J22" s="81">
        <f t="shared" si="7"/>
        <v>68733446818.408386</v>
      </c>
    </row>
    <row r="23" spans="1:10" x14ac:dyDescent="0.3">
      <c r="A23" s="81">
        <v>22</v>
      </c>
      <c r="B23" s="81">
        <v>7960058</v>
      </c>
      <c r="C23" s="81">
        <f t="shared" si="0"/>
        <v>-5.5</v>
      </c>
      <c r="D23" s="133">
        <f t="shared" si="1"/>
        <v>1750979.055555556</v>
      </c>
      <c r="E23" s="81">
        <f t="shared" si="2"/>
        <v>-9630384.8055555578</v>
      </c>
      <c r="F23" s="81">
        <f t="shared" si="3"/>
        <v>30.25</v>
      </c>
      <c r="G23" s="81">
        <f t="shared" si="4"/>
        <v>3065927652994.2266</v>
      </c>
      <c r="H23" s="81">
        <f t="shared" si="5"/>
        <v>5987242.2452830188</v>
      </c>
      <c r="I23" s="81">
        <f t="shared" si="6"/>
        <v>3892002002059.5322</v>
      </c>
      <c r="J23" s="81">
        <f t="shared" si="7"/>
        <v>49211521094.836685</v>
      </c>
    </row>
    <row r="24" spans="1:10" x14ac:dyDescent="0.3">
      <c r="A24" s="81">
        <v>23</v>
      </c>
      <c r="B24" s="81">
        <v>8893941</v>
      </c>
      <c r="C24" s="81">
        <f t="shared" si="0"/>
        <v>-4.5</v>
      </c>
      <c r="D24" s="133">
        <f t="shared" si="1"/>
        <v>2684862.055555556</v>
      </c>
      <c r="E24" s="81">
        <f t="shared" si="2"/>
        <v>-12081879.250000002</v>
      </c>
      <c r="F24" s="81">
        <f t="shared" si="3"/>
        <v>20.25</v>
      </c>
      <c r="G24" s="81">
        <f t="shared" si="4"/>
        <v>7208484257362.0049</v>
      </c>
      <c r="H24" s="81">
        <f t="shared" si="5"/>
        <v>6027576.1905850954</v>
      </c>
      <c r="I24" s="81">
        <f t="shared" si="6"/>
        <v>8216047220652.1426</v>
      </c>
      <c r="J24" s="81">
        <f t="shared" si="7"/>
        <v>32943249658.527283</v>
      </c>
    </row>
    <row r="25" spans="1:10" x14ac:dyDescent="0.3">
      <c r="A25" s="81">
        <v>24</v>
      </c>
      <c r="B25" s="81">
        <v>6805197</v>
      </c>
      <c r="C25" s="81">
        <f t="shared" si="0"/>
        <v>-3.5</v>
      </c>
      <c r="D25" s="133">
        <f t="shared" si="1"/>
        <v>596118.05555555597</v>
      </c>
      <c r="E25" s="81">
        <f t="shared" si="2"/>
        <v>-2086413.1944444459</v>
      </c>
      <c r="F25" s="81">
        <f t="shared" si="3"/>
        <v>12.25</v>
      </c>
      <c r="G25" s="81">
        <f t="shared" si="4"/>
        <v>355356736159.33691</v>
      </c>
      <c r="H25" s="81">
        <f t="shared" si="5"/>
        <v>6067910.135887173</v>
      </c>
      <c r="I25" s="81">
        <f t="shared" si="6"/>
        <v>543591919993.32623</v>
      </c>
      <c r="J25" s="81">
        <f t="shared" si="7"/>
        <v>19928632509.479439</v>
      </c>
    </row>
    <row r="26" spans="1:10" x14ac:dyDescent="0.3">
      <c r="A26" s="81">
        <v>25</v>
      </c>
      <c r="B26" s="81">
        <v>6037482</v>
      </c>
      <c r="C26" s="81">
        <f t="shared" si="0"/>
        <v>-2.5</v>
      </c>
      <c r="D26" s="133">
        <f t="shared" si="1"/>
        <v>-171596.94444444403</v>
      </c>
      <c r="E26" s="81">
        <f t="shared" si="2"/>
        <v>428992.36111111008</v>
      </c>
      <c r="F26" s="81">
        <f t="shared" si="3"/>
        <v>6.25</v>
      </c>
      <c r="G26" s="81">
        <f t="shared" si="4"/>
        <v>29445511342.669613</v>
      </c>
      <c r="H26" s="81">
        <f t="shared" si="5"/>
        <v>6108244.0811892506</v>
      </c>
      <c r="I26" s="81">
        <f t="shared" si="6"/>
        <v>5007272134.2340899</v>
      </c>
      <c r="J26" s="81">
        <f t="shared" si="7"/>
        <v>10167669647.693563</v>
      </c>
    </row>
    <row r="27" spans="1:10" x14ac:dyDescent="0.3">
      <c r="A27" s="81">
        <v>26</v>
      </c>
      <c r="B27" s="81">
        <v>8558244</v>
      </c>
      <c r="C27" s="81">
        <f t="shared" si="0"/>
        <v>-1.5</v>
      </c>
      <c r="D27" s="133">
        <f t="shared" si="1"/>
        <v>2349165.055555556</v>
      </c>
      <c r="E27" s="81">
        <f t="shared" si="2"/>
        <v>-3523747.583333334</v>
      </c>
      <c r="F27" s="81">
        <f t="shared" si="3"/>
        <v>2.25</v>
      </c>
      <c r="G27" s="81">
        <f t="shared" si="4"/>
        <v>5518576458243.3379</v>
      </c>
      <c r="H27" s="81">
        <f t="shared" si="5"/>
        <v>6148578.0264913281</v>
      </c>
      <c r="I27" s="81">
        <f t="shared" si="6"/>
        <v>5806490103885.4951</v>
      </c>
      <c r="J27" s="81">
        <f t="shared" si="7"/>
        <v>3660361073.1696606</v>
      </c>
    </row>
    <row r="28" spans="1:10" x14ac:dyDescent="0.3">
      <c r="A28" s="81">
        <v>27</v>
      </c>
      <c r="B28" s="81">
        <v>9430981</v>
      </c>
      <c r="C28" s="81">
        <f t="shared" si="0"/>
        <v>-0.5</v>
      </c>
      <c r="D28" s="133">
        <f t="shared" si="1"/>
        <v>3221902.055555556</v>
      </c>
      <c r="E28" s="81">
        <f t="shared" si="2"/>
        <v>-1610951.027777778</v>
      </c>
      <c r="F28" s="81">
        <f t="shared" si="3"/>
        <v>0.25</v>
      </c>
      <c r="G28" s="81">
        <f t="shared" si="4"/>
        <v>10380652855593.117</v>
      </c>
      <c r="H28" s="81">
        <f t="shared" si="5"/>
        <v>6188911.9717934057</v>
      </c>
      <c r="I28" s="81">
        <f t="shared" si="6"/>
        <v>10511011583656.451</v>
      </c>
      <c r="J28" s="81">
        <f t="shared" si="7"/>
        <v>406706785.90772754</v>
      </c>
    </row>
    <row r="29" spans="1:10" x14ac:dyDescent="0.3">
      <c r="A29" s="81">
        <v>28</v>
      </c>
      <c r="B29" s="81">
        <v>7292712</v>
      </c>
      <c r="C29" s="81">
        <f t="shared" si="0"/>
        <v>0.5</v>
      </c>
      <c r="D29" s="133">
        <f t="shared" si="1"/>
        <v>1083633.055555556</v>
      </c>
      <c r="E29" s="81">
        <f t="shared" si="2"/>
        <v>541816.52777777798</v>
      </c>
      <c r="F29" s="81">
        <f t="shared" si="3"/>
        <v>0.25</v>
      </c>
      <c r="G29" s="81">
        <f t="shared" si="4"/>
        <v>1174260599092.6707</v>
      </c>
      <c r="H29" s="81">
        <f t="shared" si="5"/>
        <v>6229245.9170954823</v>
      </c>
      <c r="I29" s="81">
        <f t="shared" si="6"/>
        <v>1130960109488.2783</v>
      </c>
      <c r="J29" s="81">
        <f t="shared" si="7"/>
        <v>406706785.90772754</v>
      </c>
    </row>
    <row r="30" spans="1:10" x14ac:dyDescent="0.3">
      <c r="A30" s="81">
        <v>29</v>
      </c>
      <c r="B30" s="81">
        <v>6480314</v>
      </c>
      <c r="C30" s="81">
        <f t="shared" si="0"/>
        <v>1.5</v>
      </c>
      <c r="D30" s="133">
        <f t="shared" si="1"/>
        <v>271235.05555555597</v>
      </c>
      <c r="E30" s="81">
        <f t="shared" si="2"/>
        <v>406852.58333333395</v>
      </c>
      <c r="F30" s="81">
        <f t="shared" si="3"/>
        <v>2.25</v>
      </c>
      <c r="G30" s="81">
        <f t="shared" si="4"/>
        <v>73568455362.22554</v>
      </c>
      <c r="H30" s="81">
        <f t="shared" si="5"/>
        <v>6269579.8623975599</v>
      </c>
      <c r="I30" s="81">
        <f t="shared" si="6"/>
        <v>44408876751.044151</v>
      </c>
      <c r="J30" s="81">
        <f t="shared" si="7"/>
        <v>3660361073.1696606</v>
      </c>
    </row>
    <row r="31" spans="1:10" x14ac:dyDescent="0.3">
      <c r="A31" s="81">
        <v>30</v>
      </c>
      <c r="B31" s="81">
        <v>8957586</v>
      </c>
      <c r="C31" s="81">
        <f t="shared" si="0"/>
        <v>2.5</v>
      </c>
      <c r="D31" s="133">
        <f t="shared" si="1"/>
        <v>2748507.055555556</v>
      </c>
      <c r="E31" s="81">
        <f t="shared" si="2"/>
        <v>6871267.6388888899</v>
      </c>
      <c r="F31" s="81">
        <f t="shared" si="3"/>
        <v>6.25</v>
      </c>
      <c r="G31" s="81">
        <f t="shared" si="4"/>
        <v>7554291034438.6719</v>
      </c>
      <c r="H31" s="81">
        <f t="shared" si="5"/>
        <v>6309913.8076996375</v>
      </c>
      <c r="I31" s="81">
        <f t="shared" si="6"/>
        <v>7010168037880.6074</v>
      </c>
      <c r="J31" s="81">
        <f t="shared" si="7"/>
        <v>10167669647.693563</v>
      </c>
    </row>
    <row r="32" spans="1:10" x14ac:dyDescent="0.3">
      <c r="A32" s="81">
        <v>31</v>
      </c>
      <c r="B32" s="81">
        <v>9852369</v>
      </c>
      <c r="C32" s="81">
        <f t="shared" si="0"/>
        <v>3.5</v>
      </c>
      <c r="D32" s="133">
        <f t="shared" si="1"/>
        <v>3643290.055555556</v>
      </c>
      <c r="E32" s="81">
        <f t="shared" si="2"/>
        <v>12751515.194444446</v>
      </c>
      <c r="F32" s="81">
        <f t="shared" si="3"/>
        <v>12.25</v>
      </c>
      <c r="G32" s="81">
        <f t="shared" si="4"/>
        <v>13273562428910.006</v>
      </c>
      <c r="H32" s="81">
        <f t="shared" si="5"/>
        <v>6350247.7530017151</v>
      </c>
      <c r="I32" s="81">
        <f t="shared" si="6"/>
        <v>12264853228676.822</v>
      </c>
      <c r="J32" s="81">
        <f t="shared" si="7"/>
        <v>19928632509.479439</v>
      </c>
    </row>
    <row r="33" spans="1:10" x14ac:dyDescent="0.3">
      <c r="A33" s="81">
        <v>32</v>
      </c>
      <c r="B33" s="81">
        <v>7385982</v>
      </c>
      <c r="C33" s="81">
        <f t="shared" si="0"/>
        <v>4.5</v>
      </c>
      <c r="D33" s="133">
        <f t="shared" si="1"/>
        <v>1176903.055555556</v>
      </c>
      <c r="E33" s="81">
        <f t="shared" si="2"/>
        <v>5296063.7500000019</v>
      </c>
      <c r="F33" s="81">
        <f t="shared" si="3"/>
        <v>20.25</v>
      </c>
      <c r="G33" s="81">
        <f t="shared" si="4"/>
        <v>1385100802176.0042</v>
      </c>
      <c r="H33" s="81">
        <f t="shared" si="5"/>
        <v>6390581.6983037926</v>
      </c>
      <c r="I33" s="81">
        <f t="shared" si="6"/>
        <v>990821760616.90063</v>
      </c>
      <c r="J33" s="81">
        <f t="shared" si="7"/>
        <v>32943249658.527283</v>
      </c>
    </row>
    <row r="34" spans="1:10" x14ac:dyDescent="0.3">
      <c r="A34" s="81">
        <v>33</v>
      </c>
      <c r="B34" s="81">
        <v>5139128</v>
      </c>
      <c r="C34" s="81">
        <f t="shared" si="0"/>
        <v>5.5</v>
      </c>
      <c r="D34" s="133">
        <f t="shared" si="1"/>
        <v>-1069950.944444444</v>
      </c>
      <c r="E34" s="81">
        <f t="shared" si="2"/>
        <v>-5884730.1944444422</v>
      </c>
      <c r="F34" s="81">
        <f t="shared" si="3"/>
        <v>30.25</v>
      </c>
      <c r="G34" s="81">
        <f t="shared" si="4"/>
        <v>1144795023517.5579</v>
      </c>
      <c r="H34" s="81">
        <f t="shared" si="5"/>
        <v>6430915.6436058693</v>
      </c>
      <c r="I34" s="81">
        <f t="shared" si="6"/>
        <v>1668715316172.8042</v>
      </c>
      <c r="J34" s="81">
        <f t="shared" si="7"/>
        <v>49211521094.836685</v>
      </c>
    </row>
    <row r="35" spans="1:10" x14ac:dyDescent="0.3">
      <c r="A35" s="81">
        <v>34</v>
      </c>
      <c r="B35" s="81">
        <v>155592</v>
      </c>
      <c r="C35" s="81">
        <f t="shared" si="0"/>
        <v>6.5</v>
      </c>
      <c r="D35" s="133">
        <f t="shared" si="1"/>
        <v>-6053486.944444444</v>
      </c>
      <c r="E35" s="81">
        <f t="shared" si="2"/>
        <v>-39347665.138888888</v>
      </c>
      <c r="F35" s="81">
        <f t="shared" si="3"/>
        <v>42.25</v>
      </c>
      <c r="G35" s="81">
        <f t="shared" si="4"/>
        <v>36644704186559.328</v>
      </c>
      <c r="H35" s="81">
        <f t="shared" si="5"/>
        <v>6471249.5889079468</v>
      </c>
      <c r="I35" s="81">
        <f t="shared" si="6"/>
        <v>39887530780330.539</v>
      </c>
      <c r="J35" s="81">
        <f t="shared" si="7"/>
        <v>68733446818.408386</v>
      </c>
    </row>
    <row r="36" spans="1:10" x14ac:dyDescent="0.3">
      <c r="A36" s="81">
        <v>35</v>
      </c>
      <c r="B36" s="81">
        <v>1270411</v>
      </c>
      <c r="C36" s="81">
        <f t="shared" si="0"/>
        <v>7.5</v>
      </c>
      <c r="D36" s="133">
        <f t="shared" si="1"/>
        <v>-4938667.944444444</v>
      </c>
      <c r="E36" s="81">
        <f t="shared" si="2"/>
        <v>-37040009.583333328</v>
      </c>
      <c r="F36" s="81">
        <f t="shared" si="3"/>
        <v>56.25</v>
      </c>
      <c r="G36" s="81">
        <f t="shared" si="4"/>
        <v>24390441065483.109</v>
      </c>
      <c r="H36" s="81">
        <f t="shared" si="5"/>
        <v>6511583.5342100244</v>
      </c>
      <c r="I36" s="81">
        <f t="shared" si="6"/>
        <v>27469889533357.531</v>
      </c>
      <c r="J36" s="81">
        <f t="shared" si="7"/>
        <v>91509026829.242065</v>
      </c>
    </row>
    <row r="37" spans="1:10" x14ac:dyDescent="0.3">
      <c r="A37" s="81">
        <v>36</v>
      </c>
      <c r="B37" s="81">
        <v>702109</v>
      </c>
      <c r="C37" s="81">
        <f t="shared" si="0"/>
        <v>8.5</v>
      </c>
      <c r="D37" s="133">
        <f t="shared" si="1"/>
        <v>-5506969.944444444</v>
      </c>
      <c r="E37" s="81">
        <f t="shared" si="2"/>
        <v>-46809244.527777776</v>
      </c>
      <c r="F37" s="81">
        <f t="shared" si="3"/>
        <v>72.25</v>
      </c>
      <c r="G37" s="81">
        <f t="shared" si="4"/>
        <v>30326717969014.441</v>
      </c>
      <c r="H37" s="81">
        <f t="shared" si="5"/>
        <v>6551917.479512102</v>
      </c>
      <c r="I37" s="81">
        <f t="shared" si="6"/>
        <v>34220259246971.691</v>
      </c>
      <c r="J37" s="81">
        <f t="shared" si="7"/>
        <v>117538261127.33772</v>
      </c>
    </row>
    <row r="38" spans="1:10" x14ac:dyDescent="0.3">
      <c r="A38" s="81">
        <v>37</v>
      </c>
      <c r="B38" s="81">
        <v>405112</v>
      </c>
      <c r="C38" s="81">
        <f t="shared" si="0"/>
        <v>9.5</v>
      </c>
      <c r="D38" s="133">
        <f t="shared" si="1"/>
        <v>-5803966.944444444</v>
      </c>
      <c r="E38" s="81">
        <f t="shared" si="2"/>
        <v>-55137685.972222216</v>
      </c>
      <c r="F38" s="81">
        <f t="shared" si="3"/>
        <v>90.25</v>
      </c>
      <c r="G38" s="81">
        <f t="shared" si="4"/>
        <v>33686032292203.777</v>
      </c>
      <c r="H38" s="81">
        <f t="shared" si="5"/>
        <v>6592251.4248141795</v>
      </c>
      <c r="I38" s="81">
        <f t="shared" si="6"/>
        <v>38280694262089.938</v>
      </c>
      <c r="J38" s="81">
        <f t="shared" si="7"/>
        <v>146821149712.69534</v>
      </c>
    </row>
    <row r="39" spans="1:10" x14ac:dyDescent="0.3">
      <c r="A39" s="81">
        <v>38</v>
      </c>
      <c r="B39" s="81">
        <v>554749</v>
      </c>
      <c r="C39" s="81">
        <f t="shared" si="0"/>
        <v>10.5</v>
      </c>
      <c r="D39" s="133">
        <f t="shared" si="1"/>
        <v>-5654329.944444444</v>
      </c>
      <c r="E39" s="81">
        <f t="shared" si="2"/>
        <v>-59370464.416666664</v>
      </c>
      <c r="F39" s="81">
        <f t="shared" si="3"/>
        <v>110.25</v>
      </c>
      <c r="G39" s="81">
        <f t="shared" si="4"/>
        <v>31971447120641.109</v>
      </c>
      <c r="H39" s="81">
        <f t="shared" si="5"/>
        <v>6632585.3701162562</v>
      </c>
      <c r="I39" s="81">
        <f t="shared" si="6"/>
        <v>36940094941907.945</v>
      </c>
      <c r="J39" s="81">
        <f t="shared" si="7"/>
        <v>179357692585.31415</v>
      </c>
    </row>
    <row r="40" spans="1:10" x14ac:dyDescent="0.3">
      <c r="A40" s="81">
        <v>39</v>
      </c>
      <c r="B40" s="81">
        <v>3202834</v>
      </c>
      <c r="C40" s="81">
        <f t="shared" si="0"/>
        <v>11.5</v>
      </c>
      <c r="D40" s="133">
        <f t="shared" si="1"/>
        <v>-3006244.944444444</v>
      </c>
      <c r="E40" s="81">
        <f t="shared" si="2"/>
        <v>-34571816.861111104</v>
      </c>
      <c r="F40" s="81">
        <f t="shared" si="3"/>
        <v>132.25</v>
      </c>
      <c r="G40" s="81">
        <f t="shared" si="4"/>
        <v>9037508665997.7793</v>
      </c>
      <c r="H40" s="81">
        <f t="shared" si="5"/>
        <v>6672919.3154183337</v>
      </c>
      <c r="I40" s="81">
        <f t="shared" si="6"/>
        <v>12041492096281.957</v>
      </c>
      <c r="J40" s="81">
        <f t="shared" si="7"/>
        <v>215147889745.19565</v>
      </c>
    </row>
    <row r="41" spans="1:10" x14ac:dyDescent="0.3">
      <c r="A41" s="81">
        <v>40</v>
      </c>
      <c r="B41" s="81">
        <v>4103576</v>
      </c>
      <c r="C41" s="81">
        <f t="shared" si="0"/>
        <v>12.5</v>
      </c>
      <c r="D41" s="133">
        <f t="shared" si="1"/>
        <v>-2105502.944444444</v>
      </c>
      <c r="E41" s="81">
        <f t="shared" si="2"/>
        <v>-26318786.805555552</v>
      </c>
      <c r="F41" s="81">
        <f t="shared" si="3"/>
        <v>156.25</v>
      </c>
      <c r="G41" s="81">
        <f t="shared" si="4"/>
        <v>4433142649064.2236</v>
      </c>
      <c r="H41" s="81">
        <f t="shared" si="5"/>
        <v>6713253.2607204113</v>
      </c>
      <c r="I41" s="81">
        <f t="shared" si="6"/>
        <v>6810415405121.1895</v>
      </c>
      <c r="J41" s="81">
        <f t="shared" si="7"/>
        <v>254191741192.33908</v>
      </c>
    </row>
    <row r="42" spans="1:10" x14ac:dyDescent="0.3">
      <c r="A42" s="81">
        <v>41</v>
      </c>
      <c r="B42" s="81">
        <v>4099571</v>
      </c>
      <c r="C42" s="81">
        <f t="shared" si="0"/>
        <v>13.5</v>
      </c>
      <c r="D42" s="133">
        <f t="shared" si="1"/>
        <v>-2109507.944444444</v>
      </c>
      <c r="E42" s="81">
        <f t="shared" si="2"/>
        <v>-28478357.249999993</v>
      </c>
      <c r="F42" s="81">
        <f t="shared" si="3"/>
        <v>182.25</v>
      </c>
      <c r="G42" s="81">
        <f t="shared" si="4"/>
        <v>4450023767674.2236</v>
      </c>
      <c r="H42" s="81">
        <f t="shared" si="5"/>
        <v>6753587.2060224889</v>
      </c>
      <c r="I42" s="81">
        <f t="shared" si="6"/>
        <v>7043802021830.0059</v>
      </c>
      <c r="J42" s="81">
        <f t="shared" si="7"/>
        <v>296489246926.74451</v>
      </c>
    </row>
    <row r="43" spans="1:10" x14ac:dyDescent="0.3">
      <c r="A43" s="81">
        <v>42</v>
      </c>
      <c r="B43" s="81">
        <v>7779695</v>
      </c>
      <c r="C43" s="81">
        <f t="shared" si="0"/>
        <v>14.5</v>
      </c>
      <c r="D43" s="133">
        <f t="shared" si="1"/>
        <v>1570616.055555556</v>
      </c>
      <c r="E43" s="81">
        <f t="shared" si="2"/>
        <v>22773932.80555556</v>
      </c>
      <c r="F43" s="81">
        <f t="shared" si="3"/>
        <v>210.25</v>
      </c>
      <c r="G43" s="81">
        <f t="shared" si="4"/>
        <v>2466834793968.8931</v>
      </c>
      <c r="H43" s="81">
        <f t="shared" si="5"/>
        <v>6793921.1513245665</v>
      </c>
      <c r="I43" s="81">
        <f t="shared" si="6"/>
        <v>971750080732.37659</v>
      </c>
      <c r="J43" s="81">
        <f t="shared" si="7"/>
        <v>342040406948.41193</v>
      </c>
    </row>
    <row r="44" spans="1:10" x14ac:dyDescent="0.3">
      <c r="A44" s="81">
        <v>43</v>
      </c>
      <c r="B44" s="81">
        <v>8840733</v>
      </c>
      <c r="C44" s="81">
        <f t="shared" si="0"/>
        <v>15.5</v>
      </c>
      <c r="D44" s="133">
        <f t="shared" si="1"/>
        <v>2631654.055555556</v>
      </c>
      <c r="E44" s="81">
        <f t="shared" si="2"/>
        <v>40790637.861111119</v>
      </c>
      <c r="F44" s="81">
        <f t="shared" si="3"/>
        <v>240.25</v>
      </c>
      <c r="G44" s="81">
        <f t="shared" si="4"/>
        <v>6925603068122.0049</v>
      </c>
      <c r="H44" s="81">
        <f t="shared" si="5"/>
        <v>6834255.0966266431</v>
      </c>
      <c r="I44" s="81">
        <f t="shared" si="6"/>
        <v>4025953576725.542</v>
      </c>
      <c r="J44" s="81">
        <f t="shared" si="7"/>
        <v>390845221257.34015</v>
      </c>
    </row>
    <row r="45" spans="1:10" x14ac:dyDescent="0.3">
      <c r="A45" s="81">
        <v>44</v>
      </c>
      <c r="B45" s="81">
        <v>7073346</v>
      </c>
      <c r="C45" s="81">
        <f t="shared" si="0"/>
        <v>16.5</v>
      </c>
      <c r="D45" s="133">
        <f t="shared" si="1"/>
        <v>864267.05555555597</v>
      </c>
      <c r="E45" s="81">
        <f t="shared" si="2"/>
        <v>14260406.416666673</v>
      </c>
      <c r="F45" s="81">
        <f t="shared" si="3"/>
        <v>272.25</v>
      </c>
      <c r="G45" s="81">
        <f t="shared" si="4"/>
        <v>746957543318.67041</v>
      </c>
      <c r="H45" s="81">
        <f t="shared" si="5"/>
        <v>6874589.0419287207</v>
      </c>
      <c r="I45" s="81">
        <f t="shared" si="6"/>
        <v>39504328381.748291</v>
      </c>
      <c r="J45" s="81">
        <f t="shared" si="7"/>
        <v>442903689853.53137</v>
      </c>
    </row>
    <row r="46" spans="1:10" x14ac:dyDescent="0.3">
      <c r="A46" s="81">
        <v>45</v>
      </c>
      <c r="B46" s="81">
        <v>6589966</v>
      </c>
      <c r="C46" s="81">
        <f t="shared" si="0"/>
        <v>17.5</v>
      </c>
      <c r="D46" s="133">
        <f t="shared" si="1"/>
        <v>380887.05555555597</v>
      </c>
      <c r="E46" s="81">
        <f t="shared" si="2"/>
        <v>6665523.4722222295</v>
      </c>
      <c r="F46" s="81">
        <f t="shared" si="3"/>
        <v>306.25</v>
      </c>
      <c r="G46" s="81">
        <f t="shared" si="4"/>
        <v>145074949089.78119</v>
      </c>
      <c r="H46" s="81">
        <f t="shared" si="5"/>
        <v>6914922.9872307982</v>
      </c>
      <c r="I46" s="81">
        <f t="shared" si="6"/>
        <v>105597043550.11716</v>
      </c>
      <c r="J46" s="81">
        <f t="shared" si="7"/>
        <v>498215812736.98462</v>
      </c>
    </row>
    <row r="47" spans="1:10" x14ac:dyDescent="0.3">
      <c r="A47" s="81">
        <v>46</v>
      </c>
      <c r="B47" s="81">
        <v>9058940</v>
      </c>
      <c r="C47" s="81">
        <f t="shared" si="0"/>
        <v>18.5</v>
      </c>
      <c r="D47" s="133">
        <f t="shared" si="1"/>
        <v>2849861.055555556</v>
      </c>
      <c r="E47" s="81">
        <f t="shared" si="2"/>
        <v>52722429.527777784</v>
      </c>
      <c r="F47" s="81">
        <f t="shared" si="3"/>
        <v>342.25</v>
      </c>
      <c r="G47" s="81">
        <f t="shared" si="4"/>
        <v>8121708035972.2275</v>
      </c>
      <c r="H47" s="81">
        <f t="shared" si="5"/>
        <v>6955256.9325328758</v>
      </c>
      <c r="I47" s="81">
        <f t="shared" si="6"/>
        <v>4425482448347.8887</v>
      </c>
      <c r="J47" s="81">
        <f t="shared" si="7"/>
        <v>556781589907.69983</v>
      </c>
    </row>
    <row r="48" spans="1:10" x14ac:dyDescent="0.3">
      <c r="A48" s="81">
        <v>47</v>
      </c>
      <c r="B48" s="81">
        <v>9929211</v>
      </c>
      <c r="C48" s="81">
        <f t="shared" si="0"/>
        <v>19.5</v>
      </c>
      <c r="D48" s="133">
        <f t="shared" si="1"/>
        <v>3720132.055555556</v>
      </c>
      <c r="E48" s="81">
        <f t="shared" si="2"/>
        <v>72542575.083333343</v>
      </c>
      <c r="F48" s="81">
        <f t="shared" si="3"/>
        <v>380.25</v>
      </c>
      <c r="G48" s="81">
        <f t="shared" si="4"/>
        <v>13839382510772.006</v>
      </c>
      <c r="H48" s="81">
        <f t="shared" si="5"/>
        <v>6995590.8778349534</v>
      </c>
      <c r="I48" s="81">
        <f t="shared" si="6"/>
        <v>8606127021171.6631</v>
      </c>
      <c r="J48" s="81">
        <f t="shared" si="7"/>
        <v>618601021365.677</v>
      </c>
    </row>
    <row r="49" spans="1:10" x14ac:dyDescent="0.3">
      <c r="A49" s="81">
        <v>48</v>
      </c>
      <c r="B49" s="81">
        <v>7684824</v>
      </c>
      <c r="C49" s="81">
        <f t="shared" si="0"/>
        <v>20.5</v>
      </c>
      <c r="D49" s="133">
        <f t="shared" si="1"/>
        <v>1475745.055555556</v>
      </c>
      <c r="E49" s="81">
        <f t="shared" si="2"/>
        <v>30252773.638888896</v>
      </c>
      <c r="F49" s="81">
        <f t="shared" si="3"/>
        <v>420.25</v>
      </c>
      <c r="G49" s="81">
        <f t="shared" si="4"/>
        <v>2177823468996.6709</v>
      </c>
      <c r="H49" s="81">
        <f t="shared" si="5"/>
        <v>7035924.82313703</v>
      </c>
      <c r="I49" s="81">
        <f t="shared" si="6"/>
        <v>421070141733.44</v>
      </c>
      <c r="J49" s="81">
        <f t="shared" si="7"/>
        <v>683674107110.91455</v>
      </c>
    </row>
    <row r="50" spans="1:10" x14ac:dyDescent="0.3">
      <c r="A50" s="81">
        <v>49</v>
      </c>
      <c r="B50" s="81">
        <v>7025552</v>
      </c>
      <c r="C50" s="81">
        <f t="shared" si="0"/>
        <v>21.5</v>
      </c>
      <c r="D50" s="133">
        <f t="shared" si="1"/>
        <v>816473.05555555597</v>
      </c>
      <c r="E50" s="81">
        <f t="shared" si="2"/>
        <v>17554170.694444455</v>
      </c>
      <c r="F50" s="81">
        <f t="shared" si="3"/>
        <v>462.25</v>
      </c>
      <c r="G50" s="81">
        <f t="shared" si="4"/>
        <v>666628250448.22595</v>
      </c>
      <c r="H50" s="81">
        <f t="shared" si="5"/>
        <v>7076258.7684391076</v>
      </c>
      <c r="I50" s="81">
        <f t="shared" si="6"/>
        <v>2571176365.5372758</v>
      </c>
      <c r="J50" s="81">
        <f t="shared" si="7"/>
        <v>752000847143.41565</v>
      </c>
    </row>
    <row r="51" spans="1:10" x14ac:dyDescent="0.3">
      <c r="A51" s="81">
        <v>50</v>
      </c>
      <c r="B51" s="81">
        <v>9479228</v>
      </c>
      <c r="C51" s="81">
        <f t="shared" si="0"/>
        <v>22.5</v>
      </c>
      <c r="D51" s="133">
        <f t="shared" si="1"/>
        <v>3270149.055555556</v>
      </c>
      <c r="E51" s="81">
        <f t="shared" si="2"/>
        <v>73578353.750000015</v>
      </c>
      <c r="F51" s="81">
        <f t="shared" si="3"/>
        <v>506.25</v>
      </c>
      <c r="G51" s="81">
        <f t="shared" si="4"/>
        <v>10693874845550.895</v>
      </c>
      <c r="H51" s="81">
        <f t="shared" si="5"/>
        <v>7116592.7137411851</v>
      </c>
      <c r="I51" s="81">
        <f t="shared" si="6"/>
        <v>5582045495875.2725</v>
      </c>
      <c r="J51" s="81">
        <f t="shared" si="7"/>
        <v>823581241463.17871</v>
      </c>
    </row>
    <row r="52" spans="1:10" x14ac:dyDescent="0.3">
      <c r="A52" s="81">
        <v>51</v>
      </c>
      <c r="B52" s="81">
        <v>10369522</v>
      </c>
      <c r="C52" s="81">
        <f t="shared" si="0"/>
        <v>23.5</v>
      </c>
      <c r="D52" s="133">
        <f t="shared" si="1"/>
        <v>4160443.055555556</v>
      </c>
      <c r="E52" s="81">
        <f t="shared" si="2"/>
        <v>97770411.805555567</v>
      </c>
      <c r="F52" s="81">
        <f t="shared" si="3"/>
        <v>552.25</v>
      </c>
      <c r="G52" s="81">
        <f t="shared" si="4"/>
        <v>17309286418520.451</v>
      </c>
      <c r="H52" s="81">
        <f t="shared" si="5"/>
        <v>7156926.6590432627</v>
      </c>
      <c r="I52" s="81">
        <f t="shared" si="6"/>
        <v>10320768824736.936</v>
      </c>
      <c r="J52" s="81">
        <f t="shared" si="7"/>
        <v>898415290070.20361</v>
      </c>
    </row>
    <row r="53" spans="1:10" x14ac:dyDescent="0.3">
      <c r="A53" s="81">
        <v>52</v>
      </c>
      <c r="B53" s="81">
        <v>7748958</v>
      </c>
      <c r="C53" s="81">
        <f t="shared" si="0"/>
        <v>24.5</v>
      </c>
      <c r="D53" s="133">
        <f t="shared" si="1"/>
        <v>1539879.055555556</v>
      </c>
      <c r="E53" s="81">
        <f t="shared" si="2"/>
        <v>37727036.861111119</v>
      </c>
      <c r="F53" s="81">
        <f t="shared" si="3"/>
        <v>600.25</v>
      </c>
      <c r="G53" s="81">
        <f t="shared" si="4"/>
        <v>2371227505738.6709</v>
      </c>
      <c r="H53" s="81">
        <f t="shared" si="5"/>
        <v>7197260.6043453403</v>
      </c>
      <c r="I53" s="81">
        <f t="shared" si="6"/>
        <v>304370016372.13416</v>
      </c>
      <c r="J53" s="81">
        <f t="shared" si="7"/>
        <v>976502992964.4906</v>
      </c>
    </row>
    <row r="54" spans="1:10" x14ac:dyDescent="0.3">
      <c r="A54" s="81">
        <v>53</v>
      </c>
      <c r="B54" s="81">
        <v>6933757</v>
      </c>
      <c r="C54" s="81">
        <f t="shared" si="0"/>
        <v>25.5</v>
      </c>
      <c r="D54" s="133">
        <f t="shared" si="1"/>
        <v>724678.05555555597</v>
      </c>
      <c r="E54" s="81">
        <f t="shared" si="2"/>
        <v>18479290.416666679</v>
      </c>
      <c r="F54" s="81">
        <f t="shared" si="3"/>
        <v>650.25</v>
      </c>
      <c r="G54" s="81">
        <f t="shared" si="4"/>
        <v>525158284203.78149</v>
      </c>
      <c r="H54" s="81">
        <f t="shared" si="5"/>
        <v>7237594.5496474169</v>
      </c>
      <c r="I54" s="81">
        <f t="shared" si="6"/>
        <v>92317256575.746536</v>
      </c>
      <c r="J54" s="81">
        <f t="shared" si="7"/>
        <v>1057844350146.0376</v>
      </c>
    </row>
    <row r="55" spans="1:10" x14ac:dyDescent="0.3">
      <c r="A55" s="81">
        <v>54</v>
      </c>
      <c r="B55" s="81">
        <v>10017651</v>
      </c>
      <c r="C55" s="81">
        <f t="shared" si="0"/>
        <v>26.5</v>
      </c>
      <c r="D55" s="133">
        <f t="shared" si="1"/>
        <v>3808572.055555556</v>
      </c>
      <c r="E55" s="81">
        <f t="shared" si="2"/>
        <v>100927159.47222224</v>
      </c>
      <c r="F55" s="81">
        <f t="shared" si="3"/>
        <v>702.25</v>
      </c>
      <c r="G55" s="81">
        <f t="shared" si="4"/>
        <v>14505221102358.674</v>
      </c>
      <c r="H55" s="81">
        <f t="shared" si="5"/>
        <v>7277928.4949494945</v>
      </c>
      <c r="I55" s="81">
        <f t="shared" si="6"/>
        <v>7506079404680.2168</v>
      </c>
      <c r="J55" s="81">
        <f t="shared" si="7"/>
        <v>1142439361614.8484</v>
      </c>
    </row>
    <row r="57" spans="1:10" x14ac:dyDescent="0.3">
      <c r="A57" s="99" t="s">
        <v>209</v>
      </c>
      <c r="B57" s="81">
        <f>AVERAGE(A2:A55)</f>
        <v>27.5</v>
      </c>
    </row>
    <row r="58" spans="1:10" x14ac:dyDescent="0.3">
      <c r="A58" s="99" t="s">
        <v>210</v>
      </c>
      <c r="B58" s="81">
        <f>AVERAGE(B2:B55)</f>
        <v>6209078.944444444</v>
      </c>
    </row>
    <row r="59" spans="1:10" x14ac:dyDescent="0.3">
      <c r="A59" s="6"/>
    </row>
    <row r="60" spans="1:10" ht="28.8" x14ac:dyDescent="0.3">
      <c r="A60" s="99" t="s">
        <v>211</v>
      </c>
      <c r="B60" s="81">
        <f>SUM(E2:E55)/SUM(F2:F55)</f>
        <v>40333.94530207738</v>
      </c>
      <c r="E60" s="102" t="s">
        <v>212</v>
      </c>
      <c r="F60" s="155" t="s">
        <v>213</v>
      </c>
      <c r="G60" s="155"/>
    </row>
    <row r="61" spans="1:10" x14ac:dyDescent="0.3">
      <c r="A61" s="99" t="s">
        <v>214</v>
      </c>
      <c r="B61" s="81">
        <f>$B$58-$B$60*$B$57</f>
        <v>5099895.448637316</v>
      </c>
    </row>
    <row r="62" spans="1:10" x14ac:dyDescent="0.3">
      <c r="A62" s="6"/>
    </row>
    <row r="63" spans="1:10" x14ac:dyDescent="0.3">
      <c r="A63" s="100" t="s">
        <v>215</v>
      </c>
      <c r="B63" s="81">
        <f>SUM(E2:E55)</f>
        <v>529080527.5</v>
      </c>
    </row>
    <row r="64" spans="1:10" x14ac:dyDescent="0.3">
      <c r="A64" s="101" t="s">
        <v>216</v>
      </c>
      <c r="B64" s="81">
        <f>SUM(F2:F55)</f>
        <v>13117.5</v>
      </c>
    </row>
    <row r="65" spans="1:7" x14ac:dyDescent="0.3">
      <c r="A65" s="101" t="s">
        <v>217</v>
      </c>
      <c r="B65" s="81">
        <f>SUM(G2:G55)</f>
        <v>343457422187124.88</v>
      </c>
      <c r="G65" s="8" t="s">
        <v>218</v>
      </c>
    </row>
    <row r="66" spans="1:7" x14ac:dyDescent="0.3">
      <c r="A66" s="101" t="s">
        <v>219</v>
      </c>
      <c r="B66" s="81">
        <f>SUM(I2:I55)</f>
        <v>322117517130545.56</v>
      </c>
    </row>
    <row r="67" spans="1:7" x14ac:dyDescent="0.3">
      <c r="A67" s="101" t="s">
        <v>220</v>
      </c>
      <c r="B67" s="81">
        <f>SUM(J2:J55)</f>
        <v>21339905056579.25</v>
      </c>
    </row>
    <row r="68" spans="1:7" x14ac:dyDescent="0.3">
      <c r="A68" s="101" t="s">
        <v>221</v>
      </c>
      <c r="B68" s="81">
        <f>B67/B65</f>
        <v>6.213260706578265E-2</v>
      </c>
    </row>
    <row r="70" spans="1:7" x14ac:dyDescent="0.3">
      <c r="A70" s="106" t="s">
        <v>222</v>
      </c>
      <c r="B70" s="81">
        <f>SQRT(B68)</f>
        <v>0.24926413112556459</v>
      </c>
    </row>
    <row r="71" spans="1:7" x14ac:dyDescent="0.3">
      <c r="A71" s="106" t="s">
        <v>223</v>
      </c>
      <c r="B71" s="81">
        <f>B70^2</f>
        <v>6.2132607065782657E-2</v>
      </c>
    </row>
    <row r="74" spans="1:7" x14ac:dyDescent="0.3">
      <c r="A74" s="106" t="s">
        <v>215</v>
      </c>
      <c r="B74" s="81">
        <f>B63</f>
        <v>529080527.5</v>
      </c>
    </row>
    <row r="75" spans="1:7" x14ac:dyDescent="0.3">
      <c r="A75" s="106" t="s">
        <v>224</v>
      </c>
      <c r="B75" s="81">
        <f>SQRT(B64)</f>
        <v>114.53165501292645</v>
      </c>
    </row>
    <row r="76" spans="1:7" x14ac:dyDescent="0.3">
      <c r="A76" s="106" t="s">
        <v>225</v>
      </c>
      <c r="B76" s="81">
        <f>SQRT(B65)</f>
        <v>18532604.301261194</v>
      </c>
    </row>
    <row r="77" spans="1:7" x14ac:dyDescent="0.3">
      <c r="A77" s="106" t="s">
        <v>226</v>
      </c>
      <c r="B77" s="105">
        <f>B74/(B75*B76)</f>
        <v>0.24926413112556453</v>
      </c>
    </row>
    <row r="79" spans="1:7" x14ac:dyDescent="0.3">
      <c r="A79" s="106" t="s">
        <v>227</v>
      </c>
      <c r="B79" s="81">
        <f>CORREL(A2:A55,B2:B55)</f>
        <v>0.24926413112556453</v>
      </c>
    </row>
    <row r="81" spans="1:2" x14ac:dyDescent="0.3">
      <c r="A81" s="108" t="s">
        <v>228</v>
      </c>
      <c r="B81" s="107">
        <f>B70*SQRT(52)/(1-B70^2)</f>
        <v>1.9165494241044378</v>
      </c>
    </row>
    <row r="82" spans="1:2" x14ac:dyDescent="0.3">
      <c r="A82" s="108" t="s">
        <v>229</v>
      </c>
      <c r="B82" s="107">
        <v>52</v>
      </c>
    </row>
    <row r="83" spans="1:2" x14ac:dyDescent="0.3">
      <c r="A83" s="108" t="s">
        <v>182</v>
      </c>
      <c r="B83" s="107">
        <f>_xlfn.T.DIST.2T(ABS(B81),52)</f>
        <v>6.0798587095797968E-2</v>
      </c>
    </row>
    <row r="84" spans="1:2" x14ac:dyDescent="0.3">
      <c r="A84" s="108" t="s">
        <v>230</v>
      </c>
      <c r="B84" s="107" t="str">
        <f>IF(B83&lt;0.05,"YES","NO")</f>
        <v>NO</v>
      </c>
    </row>
  </sheetData>
  <mergeCells count="1">
    <mergeCell ref="F60:G6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 CLEANED_DATA</vt:lpstr>
      <vt:lpstr>MASTER_DATA</vt:lpstr>
      <vt:lpstr>Dublin</vt:lpstr>
      <vt:lpstr>Cork</vt:lpstr>
      <vt:lpstr>Kerry</vt:lpstr>
      <vt:lpstr>Knock</vt:lpstr>
      <vt:lpstr>Shannon</vt:lpstr>
      <vt:lpstr>Chart</vt:lpstr>
      <vt:lpstr>Sheet1</vt:lpstr>
      <vt:lpstr>Descriptive_Stats</vt:lpstr>
      <vt:lpstr>Confidence_Interval</vt:lpstr>
      <vt:lpstr>Hypothesis Testing 1</vt:lpstr>
      <vt:lpstr>Hypothesis Testing 2</vt:lpstr>
      <vt:lpstr>Dublin_Regression&amp;Correlation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Srijith</dc:creator>
  <cp:keywords/>
  <dc:description/>
  <cp:lastModifiedBy>Srijith krishnakumar</cp:lastModifiedBy>
  <cp:revision/>
  <dcterms:created xsi:type="dcterms:W3CDTF">2025-10-27T20:20:07Z</dcterms:created>
  <dcterms:modified xsi:type="dcterms:W3CDTF">2026-01-03T14:38:44Z</dcterms:modified>
  <cp:category/>
  <cp:contentStatus/>
</cp:coreProperties>
</file>